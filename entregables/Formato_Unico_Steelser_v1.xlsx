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ROYECTO" sheetId="2" state="visible" r:id="rId2"/>
    <sheet name="COTIZ_PROCESO" sheetId="3" state="visible" r:id="rId3"/>
    <sheet name="PIEZAS" sheetId="4" state="visible" r:id="rId4"/>
    <sheet name="TAREO" sheetId="5" state="visible" r:id="rId5"/>
    <sheet name="PROCESO_FECHAS" sheetId="6" state="visible" r:id="rId6"/>
    <sheet name="PARADAS" sheetId="7" state="visible" r:id="rId7"/>
    <sheet name="SERV_EXTERNOS" sheetId="8" state="visible" r:id="rId8"/>
    <sheet name="COMPRAS" sheetId="9" state="visible" r:id="rId9"/>
    <sheet name="EVENTOS" sheetId="10" state="visible" r:id="rId10"/>
    <sheet name="LIS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23548"/>
      <sz val="16"/>
    </font>
    <font>
      <b val="1"/>
      <color rgb="00FFFFFF"/>
    </font>
    <font>
      <b val="1"/>
      <color rgb="00223548"/>
    </font>
    <font>
      <color rgb="00223548"/>
    </font>
    <font>
      <b val="1"/>
      <color rgb="00223548"/>
      <sz val="12"/>
    </font>
    <font>
      <i val="1"/>
      <color rgb="006A6D70"/>
    </font>
    <font>
      <b val="1"/>
      <i val="1"/>
      <color rgb="00E9730C"/>
    </font>
  </fonts>
  <fills count="8">
    <fill>
      <patternFill/>
    </fill>
    <fill>
      <patternFill patternType="gray125"/>
    </fill>
    <fill>
      <patternFill patternType="solid">
        <fgColor rgb="00223548"/>
      </patternFill>
    </fill>
    <fill>
      <patternFill patternType="solid">
        <fgColor rgb="000A6ED1"/>
      </patternFill>
    </fill>
    <fill>
      <patternFill patternType="solid">
        <fgColor rgb="00E8F3FF"/>
      </patternFill>
    </fill>
    <fill>
      <patternFill patternType="solid">
        <fgColor rgb="00EEF1F3"/>
      </patternFill>
    </fill>
    <fill>
      <patternFill patternType="solid">
        <fgColor rgb="00E9730C"/>
      </patternFill>
    </fill>
    <fill>
      <patternFill patternType="solid">
        <fgColor rgb="00FFF3E6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5" borderId="0" pivotButton="0" quotePrefix="0" xfId="0"/>
    <xf numFmtId="9" fontId="6" fillId="5" borderId="0" pivotButton="0" quotePrefix="0" xfId="0"/>
    <xf numFmtId="0" fontId="7" fillId="0" borderId="0" pivotButton="0" quotePrefix="0" xfId="0"/>
    <xf numFmtId="0" fontId="0" fillId="4" borderId="0" pivotButton="0" quotePrefix="0" xfId="0"/>
    <xf numFmtId="9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70" customWidth="1" min="3" max="3"/>
  </cols>
  <sheetData>
    <row r="1">
      <c r="A1" s="1" t="inlineStr">
        <is>
          <t>FORMATO ÚNICO DE REGISTRO · STEELSER S.A.C. · v1</t>
        </is>
      </c>
    </row>
    <row r="2" ht="32" customHeight="1">
      <c r="A2" s="2" t="inlineStr">
        <is>
          <t>Componente 1 de la tesis: datos estandarizados para estimar horas, disponibilidad y plazos. Basado en el control por pieza OPE-PRO-FR que ya usa la planta.</t>
        </is>
      </c>
    </row>
    <row r="4">
      <c r="A4" s="3" t="inlineStr">
        <is>
          <t>Hoja</t>
        </is>
      </c>
      <c r="B4" s="3" t="inlineStr">
        <is>
          <t>Quién la llena · cuándo</t>
        </is>
      </c>
      <c r="C4" s="3" t="inlineStr">
        <is>
          <t>Para qué</t>
        </is>
      </c>
    </row>
    <row r="5">
      <c r="A5" s="4" t="inlineStr">
        <is>
          <t>PROYECTO</t>
        </is>
      </c>
      <c r="B5" s="4" t="inlineStr">
        <is>
          <t>Cotizaciones · al adjudicar y al cerrar</t>
        </is>
      </c>
      <c r="C5" s="4" t="inlineStr">
        <is>
          <t>Una fila por proyecto (OT).</t>
        </is>
      </c>
    </row>
    <row r="6">
      <c r="A6" s="4" t="inlineStr">
        <is>
          <t>COTIZ_PROCESO</t>
        </is>
      </c>
      <c r="B6" s="4" t="inlineStr">
        <is>
          <t>Cotizador · al cotizar (antes de ejecutar)</t>
        </is>
      </c>
      <c r="C6" s="4" t="inlineStr">
        <is>
          <t>Lo que estimó el cotizador por proceso: es la línea base justa del modelo.</t>
        </is>
      </c>
    </row>
    <row r="7">
      <c r="A7" s="4" t="inlineStr">
        <is>
          <t>PIEZAS</t>
        </is>
      </c>
      <c r="B7" s="4" t="inlineStr">
        <is>
          <t>Oficina técnica + taller · por O.F.</t>
        </is>
      </c>
      <c r="C7" s="4" t="inlineStr">
        <is>
          <t>Igual al control por pieza OPE-PRO-FR: una fila por elemento con sus fechas de avance.</t>
        </is>
      </c>
    </row>
    <row r="8">
      <c r="A8" s="4" t="inlineStr">
        <is>
          <t>TAREO</t>
        </is>
      </c>
      <c r="B8" s="4" t="inlineStr">
        <is>
          <t>Jefe de taller / supervisor · cada día</t>
        </is>
      </c>
      <c r="C8" s="4" t="inlineStr">
        <is>
          <t>Fuente de las HH reales. Una fila por día × proceso × cuadrilla.</t>
        </is>
      </c>
    </row>
    <row r="9">
      <c r="A9" s="4" t="inlineStr">
        <is>
          <t>PROCESO_FECHAS</t>
        </is>
      </c>
      <c r="B9" s="4" t="inlineStr">
        <is>
          <t>Jefe de taller · al iniciar y cerrar cada proceso</t>
        </is>
      </c>
      <c r="C9" s="4" t="inlineStr">
        <is>
          <t>Mide los solapes reales entre procesos (los necesita el Gantt y el CRP).</t>
        </is>
      </c>
    </row>
    <row r="10">
      <c r="A10" s="4" t="inlineStr">
        <is>
          <t>PARADAS</t>
        </is>
      </c>
      <c r="B10" s="4" t="inlineStr">
        <is>
          <t>Jefe de taller / operador · cuando ocurre</t>
        </is>
      </c>
      <c r="C10" s="4" t="inlineStr">
        <is>
          <t>Base de la disponibilidad real (Dₖ) de las 4 máquinas.</t>
        </is>
      </c>
    </row>
    <row r="11">
      <c r="A11" s="4" t="inlineStr">
        <is>
          <t>SERV_EXTERNOS</t>
        </is>
      </c>
      <c r="B11" s="4" t="inlineStr">
        <is>
          <t>Logística · envío y retorno</t>
        </is>
      </c>
      <c r="C11" s="4" t="inlineStr">
        <is>
          <t>Plazos reales de proveedores externos.</t>
        </is>
      </c>
    </row>
    <row r="12">
      <c r="A12" s="4" t="inlineStr">
        <is>
          <t>COMPRAS</t>
        </is>
      </c>
      <c r="B12" s="4" t="inlineStr">
        <is>
          <t>Compras · por orden de compra</t>
        </is>
      </c>
      <c r="C12" s="4" t="inlineStr">
        <is>
          <t>El proceso 2 (compra de material) es de los de mayor variación de plazo.</t>
        </is>
      </c>
    </row>
    <row r="13">
      <c r="A13" s="4" t="inlineStr">
        <is>
          <t>EVENTOS</t>
        </is>
      </c>
      <c r="B13" s="4" t="inlineStr">
        <is>
          <t>Jefe de proyecto · cuando ocurre</t>
        </is>
      </c>
      <c r="C13" s="4" t="inlineStr">
        <is>
          <t>Separa el atraso imputable al cliente del atraso de planta (define el cumplimiento real).</t>
        </is>
      </c>
    </row>
    <row r="16">
      <c r="A16" s="5" t="inlineStr">
        <is>
          <t>REGLAS</t>
        </is>
      </c>
    </row>
    <row r="17">
      <c r="A17" s="6" t="inlineStr">
        <is>
          <t>1. Una fila por registro; no combinar celdas ni dejar filas en blanco intermedias.</t>
        </is>
      </c>
    </row>
    <row r="18">
      <c r="A18" s="6" t="inlineStr">
        <is>
          <t>2. Usar las listas desplegables (celdas celestes) en vez de escribir a mano.</t>
        </is>
      </c>
    </row>
    <row r="19">
      <c r="A19" s="6" t="inlineStr">
        <is>
          <t>3. Fechas en formato AAAA-MM-DD; fecha y hora como AAAA-MM-DD HH:MM.</t>
        </is>
      </c>
    </row>
    <row r="20">
      <c r="A20" s="6" t="inlineStr">
        <is>
          <t>4. La fila 3 de cada hoja (gris) es un EJEMPLO: borrarla antes de cargar los datos reales.</t>
        </is>
      </c>
    </row>
    <row r="21">
      <c r="A21" s="6" t="inlineStr">
        <is>
          <t>5. El Código OT debe ser el mismo en todas las hojas.</t>
        </is>
      </c>
    </row>
    <row r="22">
      <c r="A22" s="6" t="inlineStr">
        <is>
          <t>6. Las columnas naranjas se calculan solas (HH, peso total, clase de peso, horas, días).</t>
        </is>
      </c>
    </row>
    <row r="23">
      <c r="A23" s="6" t="inlineStr">
        <is>
          <t>7. Tareo: registrar todos los días, también el personal del contratista (no basta la valorización por kg).</t>
        </is>
      </c>
    </row>
    <row r="24">
      <c r="A24" s="6" t="inlineStr">
        <is>
          <t>8. Paradas: registrar cualquier parada de más de 15 minutos de las 4 máquinas, planificada o no.</t>
        </is>
      </c>
    </row>
    <row r="25">
      <c r="A25" s="6" t="inlineStr">
        <is>
          <t>9. Confidencial: uso exclusivo para la tesis según la autorización firmada por la empresa.</t>
        </is>
      </c>
    </row>
  </sheetData>
  <mergeCells count="11">
    <mergeCell ref="A25:C25"/>
    <mergeCell ref="A19:C19"/>
    <mergeCell ref="A2:E2"/>
    <mergeCell ref="A23:C23"/>
    <mergeCell ref="A22:C22"/>
    <mergeCell ref="A17:C17"/>
    <mergeCell ref="A18:C18"/>
    <mergeCell ref="A21:C21"/>
    <mergeCell ref="A20:C20"/>
    <mergeCell ref="A24:C2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30" customWidth="1" min="4" max="4"/>
    <col width="12" customWidth="1" min="5" max="5"/>
    <col width="22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4" customWidth="1" min="12" max="12"/>
    <col width="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12" customWidth="1" min="22" max="22"/>
    <col width="26" customWidth="1" min="23" max="23"/>
  </cols>
  <sheetData>
    <row r="1">
      <c r="A1" s="7" t="inlineStr">
        <is>
          <t>PROYECTO · Una fila por proyecto (OT).  (Cotizaciones · al adjudicar y al cerrar)</t>
        </is>
      </c>
    </row>
    <row r="2" ht="42" customHeight="1">
      <c r="A2" s="8" t="inlineStr">
        <is>
          <t>Código OT</t>
        </is>
      </c>
      <c r="B2" s="8" t="inlineStr">
        <is>
          <t>Cliente</t>
        </is>
      </c>
      <c r="C2" s="8" t="inlineStr">
        <is>
          <t>Nombre del proyecto</t>
        </is>
      </c>
      <c r="D2" s="8" t="inlineStr">
        <is>
          <t>Tipo de estructura</t>
        </is>
      </c>
      <c r="E2" s="8" t="inlineStr">
        <is>
          <t>Toneladas metrado</t>
        </is>
      </c>
      <c r="F2" s="8" t="inlineStr">
        <is>
          <t>Fuente de tonelaje</t>
        </is>
      </c>
      <c r="G2" s="8" t="inlineStr">
        <is>
          <t>N° piezas</t>
        </is>
      </c>
      <c r="H2" s="8" t="inlineStr">
        <is>
          <t>% planchas</t>
        </is>
      </c>
      <c r="I2" s="8" t="inlineStr">
        <is>
          <t>m² de pintura</t>
        </is>
      </c>
      <c r="J2" s="8" t="inlineStr">
        <is>
          <t>Metros de soldadura</t>
        </is>
      </c>
      <c r="K2" s="8" t="inlineStr">
        <is>
          <t>Incluye montaje</t>
        </is>
      </c>
      <c r="L2" s="8" t="inlineStr">
        <is>
          <t>Presupuesto sin IGV</t>
        </is>
      </c>
      <c r="M2" s="8" t="inlineStr">
        <is>
          <t>Moneda</t>
        </is>
      </c>
      <c r="N2" s="8" t="inlineStr">
        <is>
          <t>Fecha pedida por el cliente</t>
        </is>
      </c>
      <c r="O2" s="8" t="inlineStr">
        <is>
          <t>Fecha cotizada</t>
        </is>
      </c>
      <c r="P2" s="8" t="inlineStr">
        <is>
          <t>Día 1 contractual</t>
        </is>
      </c>
      <c r="Q2" s="8" t="inlineStr">
        <is>
          <t>Fecha fin contractual</t>
        </is>
      </c>
      <c r="R2" s="8" t="inlineStr">
        <is>
          <t>Ampliación de plazo (días)</t>
        </is>
      </c>
      <c r="S2" s="8" t="inlineStr">
        <is>
          <t>Fecha fin real (acta)</t>
        </is>
      </c>
      <c r="T2" s="8" t="inlineStr">
        <is>
          <t>Penalidad aplicada</t>
        </is>
      </c>
      <c r="U2" s="8" t="inlineStr">
        <is>
          <t>Resultado cotización</t>
        </is>
      </c>
      <c r="V2" s="8" t="inlineStr">
        <is>
          <t>Plazo del competidor (días)</t>
        </is>
      </c>
      <c r="W2" s="8" t="inlineStr">
        <is>
          <t>Motivo si se perdió</t>
        </is>
      </c>
    </row>
    <row r="3">
      <c r="A3" s="9" t="inlineStr">
        <is>
          <t>OT-2026-015</t>
        </is>
      </c>
      <c r="B3" s="9" t="inlineStr">
        <is>
          <t>Cliente ejemplo</t>
        </is>
      </c>
      <c r="C3" s="9" t="inlineStr">
        <is>
          <t>Nave de almacén 2 aguas</t>
        </is>
      </c>
      <c r="D3" s="9" t="inlineStr">
        <is>
          <t>Nave industrial / packing / cobertura</t>
        </is>
      </c>
      <c r="E3" s="9" t="n">
        <v>47</v>
      </c>
      <c r="F3" s="9" t="inlineStr">
        <is>
          <t>Planos de fabricación</t>
        </is>
      </c>
      <c r="G3" s="9" t="n">
        <v>420</v>
      </c>
      <c r="H3" s="10" t="n">
        <v>0.17</v>
      </c>
      <c r="I3" s="9" t="n">
        <v>660</v>
      </c>
      <c r="J3" s="9" t="n">
        <v>850</v>
      </c>
      <c r="K3" s="9" t="inlineStr">
        <is>
          <t>No</t>
        </is>
      </c>
      <c r="L3" s="9" t="n">
        <v>150000</v>
      </c>
      <c r="M3" s="9" t="inlineStr">
        <is>
          <t>USD</t>
        </is>
      </c>
      <c r="N3" s="9" t="inlineStr">
        <is>
          <t>2026-12-20</t>
        </is>
      </c>
      <c r="O3" s="9" t="inlineStr">
        <is>
          <t>2026-12-28</t>
        </is>
      </c>
      <c r="P3" s="9" t="inlineStr">
        <is>
          <t>2026-10-15</t>
        </is>
      </c>
      <c r="Q3" s="9" t="inlineStr">
        <is>
          <t>2026-12-28</t>
        </is>
      </c>
      <c r="R3" s="9" t="n">
        <v>0</v>
      </c>
      <c r="S3" s="9" t="n"/>
      <c r="T3" s="9" t="n"/>
      <c r="U3" s="9" t="inlineStr">
        <is>
          <t>Ganada</t>
        </is>
      </c>
      <c r="V3" s="9" t="n">
        <v>50</v>
      </c>
      <c r="W3" s="9" t="n"/>
      <c r="X3" s="11" t="inlineStr">
        <is>
          <t>← EJEMPLO: borrar esta fila</t>
        </is>
      </c>
    </row>
    <row r="4">
      <c r="D4" s="12" t="n"/>
      <c r="F4" s="12" t="n"/>
      <c r="H4" s="13" t="n"/>
      <c r="K4" s="12" t="n"/>
      <c r="M4" s="12" t="n"/>
      <c r="U4" s="12" t="n"/>
    </row>
    <row r="5">
      <c r="D5" s="12" t="n"/>
      <c r="F5" s="12" t="n"/>
      <c r="H5" s="13" t="n"/>
      <c r="K5" s="12" t="n"/>
      <c r="M5" s="12" t="n"/>
      <c r="U5" s="12" t="n"/>
    </row>
    <row r="6">
      <c r="D6" s="12" t="n"/>
      <c r="F6" s="12" t="n"/>
      <c r="H6" s="13" t="n"/>
      <c r="K6" s="12" t="n"/>
      <c r="M6" s="12" t="n"/>
      <c r="U6" s="12" t="n"/>
    </row>
    <row r="7">
      <c r="D7" s="12" t="n"/>
      <c r="F7" s="12" t="n"/>
      <c r="H7" s="13" t="n"/>
      <c r="K7" s="12" t="n"/>
      <c r="M7" s="12" t="n"/>
      <c r="U7" s="12" t="n"/>
    </row>
    <row r="8">
      <c r="D8" s="12" t="n"/>
      <c r="F8" s="12" t="n"/>
      <c r="H8" s="13" t="n"/>
      <c r="K8" s="12" t="n"/>
      <c r="M8" s="12" t="n"/>
      <c r="U8" s="12" t="n"/>
    </row>
    <row r="9">
      <c r="D9" s="12" t="n"/>
      <c r="F9" s="12" t="n"/>
      <c r="H9" s="13" t="n"/>
      <c r="K9" s="12" t="n"/>
      <c r="M9" s="12" t="n"/>
      <c r="U9" s="12" t="n"/>
    </row>
    <row r="10">
      <c r="D10" s="12" t="n"/>
      <c r="F10" s="12" t="n"/>
      <c r="H10" s="13" t="n"/>
      <c r="K10" s="12" t="n"/>
      <c r="M10" s="12" t="n"/>
      <c r="U10" s="12" t="n"/>
    </row>
    <row r="11">
      <c r="D11" s="12" t="n"/>
      <c r="F11" s="12" t="n"/>
      <c r="H11" s="13" t="n"/>
      <c r="K11" s="12" t="n"/>
      <c r="M11" s="12" t="n"/>
      <c r="U11" s="12" t="n"/>
    </row>
    <row r="12">
      <c r="D12" s="12" t="n"/>
      <c r="F12" s="12" t="n"/>
      <c r="H12" s="13" t="n"/>
      <c r="K12" s="12" t="n"/>
      <c r="M12" s="12" t="n"/>
      <c r="U12" s="12" t="n"/>
    </row>
    <row r="13">
      <c r="D13" s="12" t="n"/>
      <c r="F13" s="12" t="n"/>
      <c r="H13" s="13" t="n"/>
      <c r="K13" s="12" t="n"/>
      <c r="M13" s="12" t="n"/>
      <c r="U13" s="12" t="n"/>
    </row>
    <row r="14">
      <c r="D14" s="12" t="n"/>
      <c r="F14" s="12" t="n"/>
      <c r="H14" s="13" t="n"/>
      <c r="K14" s="12" t="n"/>
      <c r="M14" s="12" t="n"/>
      <c r="U14" s="12" t="n"/>
    </row>
    <row r="15">
      <c r="D15" s="12" t="n"/>
      <c r="F15" s="12" t="n"/>
      <c r="H15" s="13" t="n"/>
      <c r="K15" s="12" t="n"/>
      <c r="M15" s="12" t="n"/>
      <c r="U15" s="12" t="n"/>
    </row>
    <row r="16">
      <c r="D16" s="12" t="n"/>
      <c r="F16" s="12" t="n"/>
      <c r="H16" s="13" t="n"/>
      <c r="K16" s="12" t="n"/>
      <c r="M16" s="12" t="n"/>
      <c r="U16" s="12" t="n"/>
    </row>
    <row r="17">
      <c r="D17" s="12" t="n"/>
      <c r="F17" s="12" t="n"/>
      <c r="H17" s="13" t="n"/>
      <c r="K17" s="12" t="n"/>
      <c r="M17" s="12" t="n"/>
      <c r="U17" s="12" t="n"/>
    </row>
    <row r="18">
      <c r="D18" s="12" t="n"/>
      <c r="F18" s="12" t="n"/>
      <c r="H18" s="13" t="n"/>
      <c r="K18" s="12" t="n"/>
      <c r="M18" s="12" t="n"/>
      <c r="U18" s="12" t="n"/>
    </row>
    <row r="19">
      <c r="D19" s="12" t="n"/>
      <c r="F19" s="12" t="n"/>
      <c r="H19" s="13" t="n"/>
      <c r="K19" s="12" t="n"/>
      <c r="M19" s="12" t="n"/>
      <c r="U19" s="12" t="n"/>
    </row>
    <row r="20">
      <c r="D20" s="12" t="n"/>
      <c r="F20" s="12" t="n"/>
      <c r="H20" s="13" t="n"/>
      <c r="K20" s="12" t="n"/>
      <c r="M20" s="12" t="n"/>
      <c r="U20" s="12" t="n"/>
    </row>
    <row r="21">
      <c r="D21" s="12" t="n"/>
      <c r="F21" s="12" t="n"/>
      <c r="H21" s="13" t="n"/>
      <c r="K21" s="12" t="n"/>
      <c r="M21" s="12" t="n"/>
      <c r="U21" s="12" t="n"/>
    </row>
    <row r="22">
      <c r="D22" s="12" t="n"/>
      <c r="F22" s="12" t="n"/>
      <c r="H22" s="13" t="n"/>
      <c r="K22" s="12" t="n"/>
      <c r="M22" s="12" t="n"/>
      <c r="U22" s="12" t="n"/>
    </row>
    <row r="23">
      <c r="D23" s="12" t="n"/>
      <c r="F23" s="12" t="n"/>
      <c r="H23" s="13" t="n"/>
      <c r="K23" s="12" t="n"/>
      <c r="M23" s="12" t="n"/>
      <c r="U23" s="12" t="n"/>
    </row>
    <row r="24">
      <c r="D24" s="12" t="n"/>
      <c r="F24" s="12" t="n"/>
      <c r="H24" s="13" t="n"/>
      <c r="K24" s="12" t="n"/>
      <c r="M24" s="12" t="n"/>
      <c r="U24" s="12" t="n"/>
    </row>
    <row r="25">
      <c r="D25" s="12" t="n"/>
      <c r="F25" s="12" t="n"/>
      <c r="H25" s="13" t="n"/>
      <c r="K25" s="12" t="n"/>
      <c r="M25" s="12" t="n"/>
      <c r="U25" s="12" t="n"/>
    </row>
    <row r="26">
      <c r="D26" s="12" t="n"/>
      <c r="F26" s="12" t="n"/>
      <c r="H26" s="13" t="n"/>
      <c r="K26" s="12" t="n"/>
      <c r="M26" s="12" t="n"/>
      <c r="U26" s="12" t="n"/>
    </row>
    <row r="27">
      <c r="D27" s="12" t="n"/>
      <c r="F27" s="12" t="n"/>
      <c r="H27" s="13" t="n"/>
      <c r="K27" s="12" t="n"/>
      <c r="M27" s="12" t="n"/>
      <c r="U27" s="12" t="n"/>
    </row>
    <row r="28">
      <c r="D28" s="12" t="n"/>
      <c r="F28" s="12" t="n"/>
      <c r="H28" s="13" t="n"/>
      <c r="K28" s="12" t="n"/>
      <c r="M28" s="12" t="n"/>
      <c r="U28" s="12" t="n"/>
    </row>
    <row r="29">
      <c r="D29" s="12" t="n"/>
      <c r="F29" s="12" t="n"/>
      <c r="H29" s="13" t="n"/>
      <c r="K29" s="12" t="n"/>
      <c r="M29" s="12" t="n"/>
      <c r="U29" s="12" t="n"/>
    </row>
    <row r="30">
      <c r="D30" s="12" t="n"/>
      <c r="F30" s="12" t="n"/>
      <c r="H30" s="13" t="n"/>
      <c r="K30" s="12" t="n"/>
      <c r="M30" s="12" t="n"/>
      <c r="U30" s="12" t="n"/>
    </row>
    <row r="31">
      <c r="D31" s="12" t="n"/>
      <c r="F31" s="12" t="n"/>
      <c r="H31" s="13" t="n"/>
      <c r="K31" s="12" t="n"/>
      <c r="M31" s="12" t="n"/>
      <c r="U31" s="12" t="n"/>
    </row>
    <row r="32">
      <c r="D32" s="12" t="n"/>
      <c r="F32" s="12" t="n"/>
      <c r="H32" s="13" t="n"/>
      <c r="K32" s="12" t="n"/>
      <c r="M32" s="12" t="n"/>
      <c r="U32" s="12" t="n"/>
    </row>
    <row r="33">
      <c r="D33" s="12" t="n"/>
      <c r="F33" s="12" t="n"/>
      <c r="H33" s="13" t="n"/>
      <c r="K33" s="12" t="n"/>
      <c r="M33" s="12" t="n"/>
      <c r="U33" s="12" t="n"/>
    </row>
    <row r="34">
      <c r="D34" s="12" t="n"/>
      <c r="F34" s="12" t="n"/>
      <c r="H34" s="13" t="n"/>
      <c r="K34" s="12" t="n"/>
      <c r="M34" s="12" t="n"/>
      <c r="U34" s="12" t="n"/>
    </row>
    <row r="35">
      <c r="D35" s="12" t="n"/>
      <c r="F35" s="12" t="n"/>
      <c r="H35" s="13" t="n"/>
      <c r="K35" s="12" t="n"/>
      <c r="M35" s="12" t="n"/>
      <c r="U35" s="12" t="n"/>
    </row>
    <row r="36">
      <c r="D36" s="12" t="n"/>
      <c r="F36" s="12" t="n"/>
      <c r="H36" s="13" t="n"/>
      <c r="K36" s="12" t="n"/>
      <c r="M36" s="12" t="n"/>
      <c r="U36" s="12" t="n"/>
    </row>
    <row r="37">
      <c r="D37" s="12" t="n"/>
      <c r="F37" s="12" t="n"/>
      <c r="H37" s="13" t="n"/>
      <c r="K37" s="12" t="n"/>
      <c r="M37" s="12" t="n"/>
      <c r="U37" s="12" t="n"/>
    </row>
    <row r="38">
      <c r="D38" s="12" t="n"/>
      <c r="F38" s="12" t="n"/>
      <c r="H38" s="13" t="n"/>
      <c r="K38" s="12" t="n"/>
      <c r="M38" s="12" t="n"/>
      <c r="U38" s="12" t="n"/>
    </row>
    <row r="39">
      <c r="D39" s="12" t="n"/>
      <c r="F39" s="12" t="n"/>
      <c r="H39" s="13" t="n"/>
      <c r="K39" s="12" t="n"/>
      <c r="M39" s="12" t="n"/>
      <c r="U39" s="12" t="n"/>
    </row>
    <row r="40">
      <c r="D40" s="12" t="n"/>
      <c r="F40" s="12" t="n"/>
      <c r="H40" s="13" t="n"/>
      <c r="K40" s="12" t="n"/>
      <c r="M40" s="12" t="n"/>
      <c r="U40" s="12" t="n"/>
    </row>
    <row r="41">
      <c r="D41" s="12" t="n"/>
      <c r="F41" s="12" t="n"/>
      <c r="H41" s="13" t="n"/>
      <c r="K41" s="12" t="n"/>
      <c r="M41" s="12" t="n"/>
      <c r="U41" s="12" t="n"/>
    </row>
    <row r="42">
      <c r="D42" s="12" t="n"/>
      <c r="F42" s="12" t="n"/>
      <c r="H42" s="13" t="n"/>
      <c r="K42" s="12" t="n"/>
      <c r="M42" s="12" t="n"/>
      <c r="U42" s="12" t="n"/>
    </row>
    <row r="43">
      <c r="D43" s="12" t="n"/>
      <c r="F43" s="12" t="n"/>
      <c r="H43" s="13" t="n"/>
      <c r="K43" s="12" t="n"/>
      <c r="M43" s="12" t="n"/>
      <c r="U43" s="12" t="n"/>
    </row>
    <row r="44">
      <c r="D44" s="12" t="n"/>
      <c r="F44" s="12" t="n"/>
      <c r="H44" s="13" t="n"/>
      <c r="K44" s="12" t="n"/>
      <c r="M44" s="12" t="n"/>
      <c r="U44" s="12" t="n"/>
    </row>
    <row r="45">
      <c r="D45" s="12" t="n"/>
      <c r="F45" s="12" t="n"/>
      <c r="H45" s="13" t="n"/>
      <c r="K45" s="12" t="n"/>
      <c r="M45" s="12" t="n"/>
      <c r="U45" s="12" t="n"/>
    </row>
    <row r="46">
      <c r="D46" s="12" t="n"/>
      <c r="F46" s="12" t="n"/>
      <c r="H46" s="13" t="n"/>
      <c r="K46" s="12" t="n"/>
      <c r="M46" s="12" t="n"/>
      <c r="U46" s="12" t="n"/>
    </row>
    <row r="47">
      <c r="D47" s="12" t="n"/>
      <c r="F47" s="12" t="n"/>
      <c r="H47" s="13" t="n"/>
      <c r="K47" s="12" t="n"/>
      <c r="M47" s="12" t="n"/>
      <c r="U47" s="12" t="n"/>
    </row>
    <row r="48">
      <c r="D48" s="12" t="n"/>
      <c r="F48" s="12" t="n"/>
      <c r="H48" s="13" t="n"/>
      <c r="K48" s="12" t="n"/>
      <c r="M48" s="12" t="n"/>
      <c r="U48" s="12" t="n"/>
    </row>
    <row r="49">
      <c r="D49" s="12" t="n"/>
      <c r="F49" s="12" t="n"/>
      <c r="H49" s="13" t="n"/>
      <c r="K49" s="12" t="n"/>
      <c r="M49" s="12" t="n"/>
      <c r="U49" s="12" t="n"/>
    </row>
    <row r="50">
      <c r="D50" s="12" t="n"/>
      <c r="F50" s="12" t="n"/>
      <c r="H50" s="13" t="n"/>
      <c r="K50" s="12" t="n"/>
      <c r="M50" s="12" t="n"/>
      <c r="U50" s="12" t="n"/>
    </row>
    <row r="51">
      <c r="D51" s="12" t="n"/>
      <c r="F51" s="12" t="n"/>
      <c r="H51" s="13" t="n"/>
      <c r="K51" s="12" t="n"/>
      <c r="M51" s="12" t="n"/>
      <c r="U51" s="12" t="n"/>
    </row>
    <row r="52">
      <c r="D52" s="12" t="n"/>
      <c r="F52" s="12" t="n"/>
      <c r="H52" s="13" t="n"/>
      <c r="K52" s="12" t="n"/>
      <c r="M52" s="12" t="n"/>
      <c r="U52" s="12" t="n"/>
    </row>
    <row r="53">
      <c r="D53" s="12" t="n"/>
      <c r="F53" s="12" t="n"/>
      <c r="H53" s="13" t="n"/>
      <c r="K53" s="12" t="n"/>
      <c r="M53" s="12" t="n"/>
      <c r="U53" s="12" t="n"/>
    </row>
    <row r="54">
      <c r="D54" s="12" t="n"/>
      <c r="F54" s="12" t="n"/>
      <c r="H54" s="13" t="n"/>
      <c r="K54" s="12" t="n"/>
      <c r="M54" s="12" t="n"/>
      <c r="U54" s="12" t="n"/>
    </row>
    <row r="55">
      <c r="D55" s="12" t="n"/>
      <c r="F55" s="12" t="n"/>
      <c r="H55" s="13" t="n"/>
      <c r="K55" s="12" t="n"/>
      <c r="M55" s="12" t="n"/>
      <c r="U55" s="12" t="n"/>
    </row>
    <row r="56">
      <c r="D56" s="12" t="n"/>
      <c r="F56" s="12" t="n"/>
      <c r="H56" s="13" t="n"/>
      <c r="K56" s="12" t="n"/>
      <c r="M56" s="12" t="n"/>
      <c r="U56" s="12" t="n"/>
    </row>
    <row r="57">
      <c r="D57" s="12" t="n"/>
      <c r="F57" s="12" t="n"/>
      <c r="H57" s="13" t="n"/>
      <c r="K57" s="12" t="n"/>
      <c r="M57" s="12" t="n"/>
      <c r="U57" s="12" t="n"/>
    </row>
    <row r="58">
      <c r="D58" s="12" t="n"/>
      <c r="F58" s="12" t="n"/>
      <c r="H58" s="13" t="n"/>
      <c r="K58" s="12" t="n"/>
      <c r="M58" s="12" t="n"/>
      <c r="U58" s="12" t="n"/>
    </row>
    <row r="59">
      <c r="D59" s="12" t="n"/>
      <c r="F59" s="12" t="n"/>
      <c r="H59" s="13" t="n"/>
      <c r="K59" s="12" t="n"/>
      <c r="M59" s="12" t="n"/>
      <c r="U59" s="12" t="n"/>
    </row>
    <row r="60">
      <c r="H60" s="13" t="n"/>
    </row>
    <row r="61">
      <c r="H61" s="13" t="n"/>
    </row>
    <row r="62">
      <c r="H62" s="13" t="n"/>
    </row>
    <row r="63">
      <c r="H63" s="13" t="n"/>
    </row>
    <row r="64">
      <c r="H64" s="13" t="n"/>
    </row>
    <row r="65">
      <c r="H65" s="13" t="n"/>
    </row>
    <row r="66">
      <c r="H66" s="13" t="n"/>
    </row>
    <row r="67">
      <c r="H67" s="13" t="n"/>
    </row>
    <row r="68">
      <c r="H68" s="13" t="n"/>
    </row>
    <row r="69">
      <c r="H69" s="13" t="n"/>
    </row>
    <row r="70">
      <c r="H70" s="13" t="n"/>
    </row>
    <row r="71">
      <c r="H71" s="13" t="n"/>
    </row>
    <row r="72">
      <c r="H72" s="13" t="n"/>
    </row>
    <row r="73">
      <c r="H73" s="13" t="n"/>
    </row>
    <row r="74">
      <c r="H74" s="13" t="n"/>
    </row>
    <row r="75">
      <c r="H75" s="13" t="n"/>
    </row>
    <row r="76">
      <c r="H76" s="13" t="n"/>
    </row>
    <row r="77">
      <c r="H77" s="13" t="n"/>
    </row>
    <row r="78">
      <c r="H78" s="13" t="n"/>
    </row>
    <row r="79">
      <c r="H79" s="13" t="n"/>
    </row>
    <row r="80">
      <c r="H80" s="13" t="n"/>
    </row>
    <row r="81">
      <c r="H81" s="13" t="n"/>
    </row>
    <row r="82">
      <c r="H82" s="13" t="n"/>
    </row>
    <row r="83">
      <c r="H83" s="13" t="n"/>
    </row>
    <row r="84">
      <c r="H84" s="13" t="n"/>
    </row>
    <row r="85">
      <c r="H85" s="13" t="n"/>
    </row>
    <row r="86">
      <c r="H86" s="13" t="n"/>
    </row>
    <row r="87">
      <c r="H87" s="13" t="n"/>
    </row>
    <row r="88">
      <c r="H88" s="13" t="n"/>
    </row>
    <row r="89">
      <c r="H89" s="13" t="n"/>
    </row>
    <row r="90">
      <c r="H90" s="13" t="n"/>
    </row>
    <row r="91">
      <c r="H91" s="13" t="n"/>
    </row>
    <row r="92">
      <c r="H92" s="13" t="n"/>
    </row>
    <row r="93">
      <c r="H93" s="13" t="n"/>
    </row>
    <row r="94">
      <c r="H94" s="13" t="n"/>
    </row>
    <row r="95">
      <c r="H95" s="13" t="n"/>
    </row>
    <row r="96">
      <c r="H96" s="13" t="n"/>
    </row>
    <row r="97">
      <c r="H97" s="13" t="n"/>
    </row>
    <row r="98">
      <c r="H98" s="13" t="n"/>
    </row>
    <row r="99">
      <c r="H99" s="13" t="n"/>
    </row>
    <row r="100">
      <c r="H100" s="13" t="n"/>
    </row>
    <row r="101">
      <c r="H101" s="13" t="n"/>
    </row>
    <row r="102">
      <c r="H102" s="13" t="n"/>
    </row>
    <row r="103">
      <c r="H103" s="13" t="n"/>
    </row>
    <row r="104">
      <c r="H104" s="13" t="n"/>
    </row>
    <row r="105">
      <c r="H105" s="13" t="n"/>
    </row>
    <row r="106">
      <c r="H106" s="13" t="n"/>
    </row>
    <row r="107">
      <c r="H107" s="13" t="n"/>
    </row>
    <row r="108">
      <c r="H108" s="13" t="n"/>
    </row>
    <row r="109">
      <c r="H109" s="13" t="n"/>
    </row>
    <row r="110">
      <c r="H110" s="13" t="n"/>
    </row>
    <row r="111">
      <c r="H111" s="13" t="n"/>
    </row>
    <row r="112">
      <c r="H112" s="13" t="n"/>
    </row>
    <row r="113">
      <c r="H113" s="13" t="n"/>
    </row>
    <row r="114">
      <c r="H114" s="13" t="n"/>
    </row>
    <row r="115">
      <c r="H115" s="13" t="n"/>
    </row>
    <row r="116">
      <c r="H116" s="13" t="n"/>
    </row>
    <row r="117">
      <c r="H117" s="13" t="n"/>
    </row>
    <row r="118">
      <c r="H118" s="13" t="n"/>
    </row>
    <row r="119">
      <c r="H119" s="13" t="n"/>
    </row>
    <row r="120">
      <c r="H120" s="13" t="n"/>
    </row>
    <row r="121">
      <c r="H121" s="13" t="n"/>
    </row>
    <row r="122">
      <c r="H122" s="13" t="n"/>
    </row>
    <row r="123">
      <c r="H123" s="13" t="n"/>
    </row>
    <row r="124">
      <c r="H124" s="13" t="n"/>
    </row>
    <row r="125">
      <c r="H125" s="13" t="n"/>
    </row>
    <row r="126">
      <c r="H126" s="13" t="n"/>
    </row>
    <row r="127">
      <c r="H127" s="13" t="n"/>
    </row>
    <row r="128">
      <c r="H128" s="13" t="n"/>
    </row>
    <row r="129">
      <c r="H129" s="13" t="n"/>
    </row>
    <row r="130">
      <c r="H130" s="13" t="n"/>
    </row>
    <row r="131">
      <c r="H131" s="13" t="n"/>
    </row>
    <row r="132">
      <c r="H132" s="13" t="n"/>
    </row>
    <row r="133">
      <c r="H133" s="13" t="n"/>
    </row>
    <row r="134">
      <c r="H134" s="13" t="n"/>
    </row>
    <row r="135">
      <c r="H135" s="13" t="n"/>
    </row>
    <row r="136">
      <c r="H136" s="13" t="n"/>
    </row>
    <row r="137">
      <c r="H137" s="13" t="n"/>
    </row>
    <row r="138">
      <c r="H138" s="13" t="n"/>
    </row>
    <row r="139">
      <c r="H139" s="13" t="n"/>
    </row>
    <row r="140">
      <c r="H140" s="13" t="n"/>
    </row>
    <row r="141">
      <c r="H141" s="13" t="n"/>
    </row>
    <row r="142">
      <c r="H142" s="13" t="n"/>
    </row>
    <row r="143">
      <c r="H143" s="13" t="n"/>
    </row>
    <row r="144">
      <c r="H144" s="13" t="n"/>
    </row>
    <row r="145">
      <c r="H145" s="13" t="n"/>
    </row>
    <row r="146">
      <c r="H146" s="13" t="n"/>
    </row>
    <row r="147">
      <c r="H147" s="13" t="n"/>
    </row>
    <row r="148">
      <c r="H148" s="13" t="n"/>
    </row>
    <row r="149">
      <c r="H149" s="13" t="n"/>
    </row>
    <row r="150">
      <c r="H150" s="13" t="n"/>
    </row>
    <row r="151">
      <c r="H151" s="13" t="n"/>
    </row>
    <row r="152">
      <c r="H152" s="13" t="n"/>
    </row>
    <row r="153">
      <c r="H153" s="13" t="n"/>
    </row>
    <row r="154">
      <c r="H154" s="13" t="n"/>
    </row>
    <row r="155">
      <c r="H155" s="13" t="n"/>
    </row>
    <row r="156">
      <c r="H156" s="13" t="n"/>
    </row>
    <row r="157">
      <c r="H157" s="13" t="n"/>
    </row>
    <row r="158">
      <c r="H158" s="13" t="n"/>
    </row>
    <row r="159">
      <c r="H159" s="13" t="n"/>
    </row>
    <row r="160">
      <c r="H160" s="13" t="n"/>
    </row>
    <row r="161">
      <c r="H161" s="13" t="n"/>
    </row>
    <row r="162">
      <c r="H162" s="13" t="n"/>
    </row>
    <row r="163">
      <c r="H163" s="13" t="n"/>
    </row>
    <row r="164">
      <c r="H164" s="13" t="n"/>
    </row>
    <row r="165">
      <c r="H165" s="13" t="n"/>
    </row>
    <row r="166">
      <c r="H166" s="13" t="n"/>
    </row>
    <row r="167">
      <c r="H167" s="13" t="n"/>
    </row>
    <row r="168">
      <c r="H168" s="13" t="n"/>
    </row>
    <row r="169">
      <c r="H169" s="13" t="n"/>
    </row>
    <row r="170">
      <c r="H170" s="13" t="n"/>
    </row>
    <row r="171">
      <c r="H171" s="13" t="n"/>
    </row>
    <row r="172">
      <c r="H172" s="13" t="n"/>
    </row>
    <row r="173">
      <c r="H173" s="13" t="n"/>
    </row>
    <row r="174">
      <c r="H174" s="13" t="n"/>
    </row>
    <row r="175">
      <c r="H175" s="13" t="n"/>
    </row>
    <row r="176">
      <c r="H176" s="13" t="n"/>
    </row>
    <row r="177">
      <c r="H177" s="13" t="n"/>
    </row>
    <row r="178">
      <c r="H178" s="13" t="n"/>
    </row>
    <row r="179">
      <c r="H179" s="13" t="n"/>
    </row>
    <row r="180">
      <c r="H180" s="13" t="n"/>
    </row>
    <row r="181">
      <c r="H181" s="13" t="n"/>
    </row>
    <row r="182">
      <c r="H182" s="13" t="n"/>
    </row>
    <row r="183">
      <c r="H183" s="13" t="n"/>
    </row>
    <row r="184">
      <c r="H184" s="13" t="n"/>
    </row>
    <row r="185">
      <c r="H185" s="13" t="n"/>
    </row>
    <row r="186">
      <c r="H186" s="13" t="n"/>
    </row>
    <row r="187">
      <c r="H187" s="13" t="n"/>
    </row>
    <row r="188">
      <c r="H188" s="13" t="n"/>
    </row>
    <row r="189">
      <c r="H189" s="13" t="n"/>
    </row>
    <row r="190">
      <c r="H190" s="13" t="n"/>
    </row>
    <row r="191">
      <c r="H191" s="13" t="n"/>
    </row>
    <row r="192">
      <c r="H192" s="13" t="n"/>
    </row>
    <row r="193">
      <c r="H193" s="13" t="n"/>
    </row>
    <row r="194">
      <c r="H194" s="13" t="n"/>
    </row>
    <row r="195">
      <c r="H195" s="13" t="n"/>
    </row>
    <row r="196">
      <c r="H196" s="13" t="n"/>
    </row>
    <row r="197">
      <c r="H197" s="13" t="n"/>
    </row>
    <row r="198">
      <c r="H198" s="13" t="n"/>
    </row>
    <row r="199">
      <c r="H199" s="13" t="n"/>
    </row>
    <row r="200">
      <c r="H200" s="13" t="n"/>
    </row>
    <row r="201">
      <c r="H201" s="13" t="n"/>
    </row>
    <row r="202">
      <c r="H202" s="13" t="n"/>
    </row>
    <row r="203">
      <c r="H203" s="13" t="n"/>
    </row>
    <row r="204">
      <c r="H204" s="13" t="n"/>
    </row>
    <row r="205">
      <c r="H205" s="13" t="n"/>
    </row>
    <row r="206">
      <c r="H206" s="13" t="n"/>
    </row>
    <row r="207">
      <c r="H207" s="13" t="n"/>
    </row>
    <row r="208">
      <c r="H208" s="13" t="n"/>
    </row>
    <row r="209">
      <c r="H209" s="13" t="n"/>
    </row>
    <row r="210">
      <c r="H210" s="13" t="n"/>
    </row>
    <row r="211">
      <c r="H211" s="13" t="n"/>
    </row>
    <row r="212">
      <c r="H212" s="13" t="n"/>
    </row>
    <row r="213">
      <c r="H213" s="13" t="n"/>
    </row>
    <row r="214">
      <c r="H214" s="13" t="n"/>
    </row>
    <row r="215">
      <c r="H215" s="13" t="n"/>
    </row>
    <row r="216">
      <c r="H216" s="13" t="n"/>
    </row>
    <row r="217">
      <c r="H217" s="13" t="n"/>
    </row>
    <row r="218">
      <c r="H218" s="13" t="n"/>
    </row>
    <row r="219">
      <c r="H219" s="13" t="n"/>
    </row>
    <row r="220">
      <c r="H220" s="13" t="n"/>
    </row>
    <row r="221">
      <c r="H221" s="13" t="n"/>
    </row>
    <row r="222">
      <c r="H222" s="13" t="n"/>
    </row>
    <row r="223">
      <c r="H223" s="13" t="n"/>
    </row>
    <row r="224">
      <c r="H224" s="13" t="n"/>
    </row>
    <row r="225">
      <c r="H225" s="13" t="n"/>
    </row>
    <row r="226">
      <c r="H226" s="13" t="n"/>
    </row>
    <row r="227">
      <c r="H227" s="13" t="n"/>
    </row>
    <row r="228">
      <c r="H228" s="13" t="n"/>
    </row>
    <row r="229">
      <c r="H229" s="13" t="n"/>
    </row>
    <row r="230">
      <c r="H230" s="13" t="n"/>
    </row>
    <row r="231">
      <c r="H231" s="13" t="n"/>
    </row>
    <row r="232">
      <c r="H232" s="13" t="n"/>
    </row>
    <row r="233">
      <c r="H233" s="13" t="n"/>
    </row>
    <row r="234">
      <c r="H234" s="13" t="n"/>
    </row>
    <row r="235">
      <c r="H235" s="13" t="n"/>
    </row>
    <row r="236">
      <c r="H236" s="13" t="n"/>
    </row>
    <row r="237">
      <c r="H237" s="13" t="n"/>
    </row>
    <row r="238">
      <c r="H238" s="13" t="n"/>
    </row>
    <row r="239">
      <c r="H239" s="13" t="n"/>
    </row>
    <row r="240">
      <c r="H240" s="13" t="n"/>
    </row>
    <row r="241">
      <c r="H241" s="13" t="n"/>
    </row>
    <row r="242">
      <c r="H242" s="13" t="n"/>
    </row>
    <row r="243">
      <c r="H243" s="13" t="n"/>
    </row>
    <row r="244">
      <c r="H244" s="13" t="n"/>
    </row>
    <row r="245">
      <c r="H245" s="13" t="n"/>
    </row>
    <row r="246">
      <c r="H246" s="13" t="n"/>
    </row>
    <row r="247">
      <c r="H247" s="13" t="n"/>
    </row>
    <row r="248">
      <c r="H248" s="13" t="n"/>
    </row>
    <row r="249">
      <c r="H249" s="13" t="n"/>
    </row>
    <row r="250">
      <c r="H250" s="13" t="n"/>
    </row>
    <row r="251">
      <c r="H251" s="13" t="n"/>
    </row>
    <row r="252">
      <c r="H252" s="13" t="n"/>
    </row>
    <row r="253">
      <c r="H253" s="13" t="n"/>
    </row>
    <row r="254">
      <c r="H254" s="13" t="n"/>
    </row>
    <row r="255">
      <c r="H255" s="13" t="n"/>
    </row>
    <row r="256">
      <c r="H256" s="13" t="n"/>
    </row>
    <row r="257">
      <c r="H257" s="13" t="n"/>
    </row>
    <row r="258">
      <c r="H258" s="13" t="n"/>
    </row>
    <row r="259">
      <c r="H259" s="13" t="n"/>
    </row>
    <row r="260">
      <c r="H260" s="13" t="n"/>
    </row>
    <row r="261">
      <c r="H261" s="13" t="n"/>
    </row>
    <row r="262">
      <c r="H262" s="13" t="n"/>
    </row>
    <row r="263">
      <c r="H263" s="13" t="n"/>
    </row>
    <row r="264">
      <c r="H264" s="13" t="n"/>
    </row>
    <row r="265">
      <c r="H265" s="13" t="n"/>
    </row>
    <row r="266">
      <c r="H266" s="13" t="n"/>
    </row>
    <row r="267">
      <c r="H267" s="13" t="n"/>
    </row>
    <row r="268">
      <c r="H268" s="13" t="n"/>
    </row>
    <row r="269">
      <c r="H269" s="13" t="n"/>
    </row>
    <row r="270">
      <c r="H270" s="13" t="n"/>
    </row>
    <row r="271">
      <c r="H271" s="13" t="n"/>
    </row>
    <row r="272">
      <c r="H272" s="13" t="n"/>
    </row>
    <row r="273">
      <c r="H273" s="13" t="n"/>
    </row>
    <row r="274">
      <c r="H274" s="13" t="n"/>
    </row>
    <row r="275">
      <c r="H275" s="13" t="n"/>
    </row>
    <row r="276">
      <c r="H276" s="13" t="n"/>
    </row>
    <row r="277">
      <c r="H277" s="13" t="n"/>
    </row>
    <row r="278">
      <c r="H278" s="13" t="n"/>
    </row>
    <row r="279">
      <c r="H279" s="13" t="n"/>
    </row>
    <row r="280">
      <c r="H280" s="13" t="n"/>
    </row>
    <row r="281">
      <c r="H281" s="13" t="n"/>
    </row>
    <row r="282">
      <c r="H282" s="13" t="n"/>
    </row>
    <row r="283">
      <c r="H283" s="13" t="n"/>
    </row>
    <row r="284">
      <c r="H284" s="13" t="n"/>
    </row>
    <row r="285">
      <c r="H285" s="13" t="n"/>
    </row>
    <row r="286">
      <c r="H286" s="13" t="n"/>
    </row>
    <row r="287">
      <c r="H287" s="13" t="n"/>
    </row>
    <row r="288">
      <c r="H288" s="13" t="n"/>
    </row>
    <row r="289">
      <c r="H289" s="13" t="n"/>
    </row>
    <row r="290">
      <c r="H290" s="13" t="n"/>
    </row>
    <row r="291">
      <c r="H291" s="13" t="n"/>
    </row>
    <row r="292">
      <c r="H292" s="13" t="n"/>
    </row>
    <row r="293">
      <c r="H293" s="13" t="n"/>
    </row>
    <row r="294">
      <c r="H294" s="13" t="n"/>
    </row>
    <row r="295">
      <c r="H295" s="13" t="n"/>
    </row>
    <row r="296">
      <c r="H296" s="13" t="n"/>
    </row>
    <row r="297">
      <c r="H297" s="13" t="n"/>
    </row>
    <row r="298">
      <c r="H298" s="13" t="n"/>
    </row>
    <row r="299">
      <c r="H299" s="13" t="n"/>
    </row>
    <row r="300">
      <c r="H300" s="13" t="n"/>
    </row>
    <row r="301">
      <c r="H301" s="13" t="n"/>
    </row>
    <row r="302">
      <c r="H302" s="13" t="n"/>
    </row>
    <row r="303">
      <c r="H303" s="13" t="n"/>
    </row>
    <row r="304">
      <c r="H304" s="13" t="n"/>
    </row>
    <row r="305">
      <c r="H305" s="13" t="n"/>
    </row>
    <row r="306">
      <c r="H306" s="13" t="n"/>
    </row>
    <row r="307">
      <c r="H307" s="13" t="n"/>
    </row>
    <row r="308">
      <c r="H308" s="13" t="n"/>
    </row>
    <row r="309">
      <c r="H309" s="13" t="n"/>
    </row>
    <row r="310">
      <c r="H310" s="13" t="n"/>
    </row>
    <row r="311">
      <c r="H311" s="13" t="n"/>
    </row>
    <row r="312">
      <c r="H312" s="13" t="n"/>
    </row>
    <row r="313">
      <c r="H313" s="13" t="n"/>
    </row>
    <row r="314">
      <c r="H314" s="13" t="n"/>
    </row>
    <row r="315">
      <c r="H315" s="13" t="n"/>
    </row>
    <row r="316">
      <c r="H316" s="13" t="n"/>
    </row>
    <row r="317">
      <c r="H317" s="13" t="n"/>
    </row>
    <row r="318">
      <c r="H318" s="13" t="n"/>
    </row>
    <row r="319">
      <c r="H319" s="13" t="n"/>
    </row>
    <row r="320">
      <c r="H320" s="13" t="n"/>
    </row>
    <row r="321">
      <c r="H321" s="13" t="n"/>
    </row>
    <row r="322">
      <c r="H322" s="13" t="n"/>
    </row>
    <row r="323">
      <c r="H323" s="13" t="n"/>
    </row>
    <row r="324">
      <c r="H324" s="13" t="n"/>
    </row>
    <row r="325">
      <c r="H325" s="13" t="n"/>
    </row>
    <row r="326">
      <c r="H326" s="13" t="n"/>
    </row>
    <row r="327">
      <c r="H327" s="13" t="n"/>
    </row>
    <row r="328">
      <c r="H328" s="13" t="n"/>
    </row>
    <row r="329">
      <c r="H329" s="13" t="n"/>
    </row>
    <row r="330">
      <c r="H330" s="13" t="n"/>
    </row>
    <row r="331">
      <c r="H331" s="13" t="n"/>
    </row>
    <row r="332">
      <c r="H332" s="13" t="n"/>
    </row>
    <row r="333">
      <c r="H333" s="13" t="n"/>
    </row>
    <row r="334">
      <c r="H334" s="13" t="n"/>
    </row>
    <row r="335">
      <c r="H335" s="13" t="n"/>
    </row>
    <row r="336">
      <c r="H336" s="13" t="n"/>
    </row>
    <row r="337">
      <c r="H337" s="13" t="n"/>
    </row>
    <row r="338">
      <c r="H338" s="13" t="n"/>
    </row>
    <row r="339">
      <c r="H339" s="13" t="n"/>
    </row>
    <row r="340">
      <c r="H340" s="13" t="n"/>
    </row>
    <row r="341">
      <c r="H341" s="13" t="n"/>
    </row>
    <row r="342">
      <c r="H342" s="13" t="n"/>
    </row>
    <row r="343">
      <c r="H343" s="13" t="n"/>
    </row>
    <row r="344">
      <c r="H344" s="13" t="n"/>
    </row>
    <row r="345">
      <c r="H345" s="13" t="n"/>
    </row>
    <row r="346">
      <c r="H346" s="13" t="n"/>
    </row>
    <row r="347">
      <c r="H347" s="13" t="n"/>
    </row>
    <row r="348">
      <c r="H348" s="13" t="n"/>
    </row>
    <row r="349">
      <c r="H349" s="13" t="n"/>
    </row>
    <row r="350">
      <c r="H350" s="13" t="n"/>
    </row>
    <row r="351">
      <c r="H351" s="13" t="n"/>
    </row>
    <row r="352">
      <c r="H352" s="13" t="n"/>
    </row>
    <row r="353">
      <c r="H353" s="13" t="n"/>
    </row>
    <row r="354">
      <c r="H354" s="13" t="n"/>
    </row>
    <row r="355">
      <c r="H355" s="13" t="n"/>
    </row>
    <row r="356">
      <c r="H356" s="13" t="n"/>
    </row>
    <row r="357">
      <c r="H357" s="13" t="n"/>
    </row>
    <row r="358">
      <c r="H358" s="13" t="n"/>
    </row>
    <row r="359">
      <c r="H359" s="13" t="n"/>
    </row>
    <row r="360">
      <c r="H360" s="13" t="n"/>
    </row>
    <row r="361">
      <c r="H361" s="13" t="n"/>
    </row>
    <row r="362">
      <c r="H362" s="13" t="n"/>
    </row>
    <row r="363">
      <c r="H363" s="13" t="n"/>
    </row>
    <row r="364">
      <c r="H364" s="13" t="n"/>
    </row>
    <row r="365">
      <c r="H365" s="13" t="n"/>
    </row>
    <row r="366">
      <c r="H366" s="13" t="n"/>
    </row>
    <row r="367">
      <c r="H367" s="13" t="n"/>
    </row>
    <row r="368">
      <c r="H368" s="13" t="n"/>
    </row>
    <row r="369">
      <c r="H369" s="13" t="n"/>
    </row>
    <row r="370">
      <c r="H370" s="13" t="n"/>
    </row>
    <row r="371">
      <c r="H371" s="13" t="n"/>
    </row>
    <row r="372">
      <c r="H372" s="13" t="n"/>
    </row>
    <row r="373">
      <c r="H373" s="13" t="n"/>
    </row>
    <row r="374">
      <c r="H374" s="13" t="n"/>
    </row>
    <row r="375">
      <c r="H375" s="13" t="n"/>
    </row>
    <row r="376">
      <c r="H376" s="13" t="n"/>
    </row>
    <row r="377">
      <c r="H377" s="13" t="n"/>
    </row>
    <row r="378">
      <c r="H378" s="13" t="n"/>
    </row>
    <row r="379">
      <c r="H379" s="13" t="n"/>
    </row>
    <row r="380">
      <c r="H380" s="13" t="n"/>
    </row>
    <row r="381">
      <c r="H381" s="13" t="n"/>
    </row>
    <row r="382">
      <c r="H382" s="13" t="n"/>
    </row>
    <row r="383">
      <c r="H383" s="13" t="n"/>
    </row>
    <row r="384">
      <c r="H384" s="13" t="n"/>
    </row>
    <row r="385">
      <c r="H385" s="13" t="n"/>
    </row>
    <row r="386">
      <c r="H386" s="13" t="n"/>
    </row>
    <row r="387">
      <c r="H387" s="13" t="n"/>
    </row>
    <row r="388">
      <c r="H388" s="13" t="n"/>
    </row>
    <row r="389">
      <c r="H389" s="13" t="n"/>
    </row>
    <row r="390">
      <c r="H390" s="13" t="n"/>
    </row>
    <row r="391">
      <c r="H391" s="13" t="n"/>
    </row>
    <row r="392">
      <c r="H392" s="13" t="n"/>
    </row>
    <row r="393">
      <c r="H393" s="13" t="n"/>
    </row>
    <row r="394">
      <c r="H394" s="13" t="n"/>
    </row>
    <row r="395">
      <c r="H395" s="13" t="n"/>
    </row>
    <row r="396">
      <c r="H396" s="13" t="n"/>
    </row>
    <row r="397">
      <c r="H397" s="13" t="n"/>
    </row>
    <row r="398">
      <c r="H398" s="13" t="n"/>
    </row>
    <row r="399">
      <c r="H399" s="13" t="n"/>
    </row>
    <row r="400">
      <c r="H400" s="13" t="n"/>
    </row>
    <row r="401">
      <c r="H401" s="13" t="n"/>
    </row>
    <row r="402">
      <c r="H402" s="13" t="n"/>
    </row>
    <row r="403">
      <c r="H403" s="13" t="n"/>
    </row>
    <row r="404">
      <c r="H404" s="13" t="n"/>
    </row>
    <row r="405">
      <c r="H405" s="13" t="n"/>
    </row>
    <row r="406">
      <c r="H406" s="13" t="n"/>
    </row>
    <row r="407">
      <c r="H407" s="13" t="n"/>
    </row>
    <row r="408">
      <c r="H408" s="13" t="n"/>
    </row>
    <row r="409">
      <c r="H409" s="13" t="n"/>
    </row>
    <row r="410">
      <c r="H410" s="13" t="n"/>
    </row>
    <row r="411">
      <c r="H411" s="13" t="n"/>
    </row>
    <row r="412">
      <c r="H412" s="13" t="n"/>
    </row>
    <row r="413">
      <c r="H413" s="13" t="n"/>
    </row>
    <row r="414">
      <c r="H414" s="13" t="n"/>
    </row>
    <row r="415">
      <c r="H415" s="13" t="n"/>
    </row>
    <row r="416">
      <c r="H416" s="13" t="n"/>
    </row>
    <row r="417">
      <c r="H417" s="13" t="n"/>
    </row>
    <row r="418">
      <c r="H418" s="13" t="n"/>
    </row>
    <row r="419">
      <c r="H419" s="13" t="n"/>
    </row>
    <row r="420">
      <c r="H420" s="13" t="n"/>
    </row>
    <row r="421">
      <c r="H421" s="13" t="n"/>
    </row>
    <row r="422">
      <c r="H422" s="13" t="n"/>
    </row>
    <row r="423">
      <c r="H423" s="13" t="n"/>
    </row>
    <row r="424">
      <c r="H424" s="13" t="n"/>
    </row>
    <row r="425">
      <c r="H425" s="13" t="n"/>
    </row>
    <row r="426">
      <c r="H426" s="13" t="n"/>
    </row>
    <row r="427">
      <c r="H427" s="13" t="n"/>
    </row>
    <row r="428">
      <c r="H428" s="13" t="n"/>
    </row>
    <row r="429">
      <c r="H429" s="13" t="n"/>
    </row>
    <row r="430">
      <c r="H430" s="13" t="n"/>
    </row>
    <row r="431">
      <c r="H431" s="13" t="n"/>
    </row>
    <row r="432">
      <c r="H432" s="13" t="n"/>
    </row>
    <row r="433">
      <c r="H433" s="13" t="n"/>
    </row>
    <row r="434">
      <c r="H434" s="13" t="n"/>
    </row>
    <row r="435">
      <c r="H435" s="13" t="n"/>
    </row>
    <row r="436">
      <c r="H436" s="13" t="n"/>
    </row>
    <row r="437">
      <c r="H437" s="13" t="n"/>
    </row>
    <row r="438">
      <c r="H438" s="13" t="n"/>
    </row>
    <row r="439">
      <c r="H439" s="13" t="n"/>
    </row>
    <row r="440">
      <c r="H440" s="13" t="n"/>
    </row>
    <row r="441">
      <c r="H441" s="13" t="n"/>
    </row>
    <row r="442">
      <c r="H442" s="13" t="n"/>
    </row>
    <row r="443">
      <c r="H443" s="13" t="n"/>
    </row>
    <row r="444">
      <c r="H444" s="13" t="n"/>
    </row>
    <row r="445">
      <c r="H445" s="13" t="n"/>
    </row>
    <row r="446">
      <c r="H446" s="13" t="n"/>
    </row>
    <row r="447">
      <c r="H447" s="13" t="n"/>
    </row>
    <row r="448">
      <c r="H448" s="13" t="n"/>
    </row>
    <row r="449">
      <c r="H449" s="13" t="n"/>
    </row>
    <row r="450">
      <c r="H450" s="13" t="n"/>
    </row>
    <row r="451">
      <c r="H451" s="13" t="n"/>
    </row>
    <row r="452">
      <c r="H452" s="13" t="n"/>
    </row>
    <row r="453">
      <c r="H453" s="13" t="n"/>
    </row>
    <row r="454">
      <c r="H454" s="13" t="n"/>
    </row>
    <row r="455">
      <c r="H455" s="13" t="n"/>
    </row>
    <row r="456">
      <c r="H456" s="13" t="n"/>
    </row>
    <row r="457">
      <c r="H457" s="13" t="n"/>
    </row>
    <row r="458">
      <c r="H458" s="13" t="n"/>
    </row>
    <row r="459">
      <c r="H459" s="13" t="n"/>
    </row>
    <row r="460">
      <c r="H460" s="13" t="n"/>
    </row>
    <row r="461">
      <c r="H461" s="13" t="n"/>
    </row>
    <row r="462">
      <c r="H462" s="13" t="n"/>
    </row>
    <row r="463">
      <c r="H463" s="13" t="n"/>
    </row>
    <row r="464">
      <c r="H464" s="13" t="n"/>
    </row>
    <row r="465">
      <c r="H465" s="13" t="n"/>
    </row>
    <row r="466">
      <c r="H466" s="13" t="n"/>
    </row>
    <row r="467">
      <c r="H467" s="13" t="n"/>
    </row>
    <row r="468">
      <c r="H468" s="13" t="n"/>
    </row>
    <row r="469">
      <c r="H469" s="13" t="n"/>
    </row>
    <row r="470">
      <c r="H470" s="13" t="n"/>
    </row>
    <row r="471">
      <c r="H471" s="13" t="n"/>
    </row>
    <row r="472">
      <c r="H472" s="13" t="n"/>
    </row>
    <row r="473">
      <c r="H473" s="13" t="n"/>
    </row>
    <row r="474">
      <c r="H474" s="13" t="n"/>
    </row>
    <row r="475">
      <c r="H475" s="13" t="n"/>
    </row>
    <row r="476">
      <c r="H476" s="13" t="n"/>
    </row>
    <row r="477">
      <c r="H477" s="13" t="n"/>
    </row>
    <row r="478">
      <c r="H478" s="13" t="n"/>
    </row>
    <row r="479">
      <c r="H479" s="13" t="n"/>
    </row>
    <row r="480">
      <c r="H480" s="13" t="n"/>
    </row>
    <row r="481">
      <c r="H481" s="13" t="n"/>
    </row>
    <row r="482">
      <c r="H482" s="13" t="n"/>
    </row>
    <row r="483">
      <c r="H483" s="13" t="n"/>
    </row>
    <row r="484">
      <c r="H484" s="13" t="n"/>
    </row>
    <row r="485">
      <c r="H485" s="13" t="n"/>
    </row>
    <row r="486">
      <c r="H486" s="13" t="n"/>
    </row>
    <row r="487">
      <c r="H487" s="13" t="n"/>
    </row>
    <row r="488">
      <c r="H488" s="13" t="n"/>
    </row>
    <row r="489">
      <c r="H489" s="13" t="n"/>
    </row>
    <row r="490">
      <c r="H490" s="13" t="n"/>
    </row>
    <row r="491">
      <c r="H491" s="13" t="n"/>
    </row>
    <row r="492">
      <c r="H492" s="13" t="n"/>
    </row>
    <row r="493">
      <c r="H493" s="13" t="n"/>
    </row>
    <row r="494">
      <c r="H494" s="13" t="n"/>
    </row>
    <row r="495">
      <c r="H495" s="13" t="n"/>
    </row>
    <row r="496">
      <c r="H496" s="13" t="n"/>
    </row>
    <row r="497">
      <c r="H497" s="13" t="n"/>
    </row>
    <row r="498">
      <c r="H498" s="13" t="n"/>
    </row>
    <row r="499">
      <c r="H499" s="13" t="n"/>
    </row>
  </sheetData>
  <mergeCells count="1">
    <mergeCell ref="A1:L1"/>
  </mergeCells>
  <dataValidations count="14">
    <dataValidation sqref="D3:D500" showDropDown="0" showInputMessage="0" showErrorMessage="1" allowBlank="1" errorTitle="Valor no válido" error="Elija un valor de la lista desplegable." type="list">
      <formula1>=LISTAS!$B$2:$B$6</formula1>
    </dataValidation>
    <dataValidation sqref="E3:E500" showDropDown="0" showInputMessage="0" showErrorMessage="1" allowBlank="1" error="Número mayor o igual a 0." type="decimal" operator="greaterThanOrEqual">
      <formula1>0</formula1>
    </dataValidation>
    <dataValidation sqref="F3:F500" showDropDown="0" showInputMessage="0" showErrorMessage="1" allowBlank="1" errorTitle="Valor no válido" error="Elija un valor de la lista desplegable." type="list">
      <formula1>=LISTAS!$H$2:$H$4</formula1>
    </dataValidation>
    <dataValidation sqref="G3:G500" showDropDown="0" showInputMessage="0" showErrorMessage="1" allowBlank="1" error="Número entero." type="whole" operator="between">
      <formula1>0</formula1>
      <formula2>100000</formula2>
    </dataValidation>
    <dataValidation sqref="H3:H500" showDropDown="0" showInputMessage="0" showErrorMessage="1" allowBlank="1" error="Fracción entre 0 y 1 (17 % = 0.17)." type="decimal" operator="between">
      <formula1>0</formula1>
      <formula2>1</formula2>
    </dataValidation>
    <dataValidation sqref="I3:I500" showDropDown="0" showInputMessage="0" showErrorMessage="1" allowBlank="1" error="Número mayor o igual a 0." type="decimal" operator="greaterThanOrEqual">
      <formula1>0</formula1>
    </dataValidation>
    <dataValidation sqref="J3:J500" showDropDown="0" showInputMessage="0" showErrorMessage="1" allowBlank="1" error="Número mayor o igual a 0." type="decimal" operator="greaterThanOrEqual">
      <formula1>0</formula1>
    </dataValidation>
    <dataValidation sqref="K3:K500" showDropDown="0" showInputMessage="0" showErrorMessage="1" allowBlank="1" errorTitle="Valor no válido" error="Elija un valor de la lista desplegable." type="list">
      <formula1>=LISTAS!$G$2:$G$3</formula1>
    </dataValidation>
    <dataValidation sqref="L3:L500" showDropDown="0" showInputMessage="0" showErrorMessage="1" allowBlank="1" error="Número mayor o igual a 0." type="decimal" operator="greaterThanOrEqual">
      <formula1>0</formula1>
    </dataValidation>
    <dataValidation sqref="M3:M500" showDropDown="0" showInputMessage="0" showErrorMessage="1" allowBlank="1" errorTitle="Valor no válido" error="Elija un valor de la lista desplegable." type="list">
      <formula1>=LISTAS!$N$2:$N$3</formula1>
    </dataValidation>
    <dataValidation sqref="R3:R500" showDropDown="0" showInputMessage="0" showErrorMessage="1" allowBlank="1" error="Número mayor o igual a 0." type="decimal" operator="greaterThanOrEqual">
      <formula1>0</formula1>
    </dataValidation>
    <dataValidation sqref="T3:T500" showDropDown="0" showInputMessage="0" showErrorMessage="1" allowBlank="1" error="Número mayor o igual a 0." type="decimal" operator="greaterThanOrEqual">
      <formula1>0</formula1>
    </dataValidation>
    <dataValidation sqref="U3:U500" showDropDown="0" showInputMessage="0" showErrorMessage="1" allowBlank="1" errorTitle="Valor no válido" error="Elija un valor de la lista desplegable." type="list">
      <formula1>=LISTAS!$L$2:$L$5</formula1>
    </dataValidation>
    <dataValidation sqref="V3:V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2" customWidth="1" min="5" max="5"/>
    <col width="22" customWidth="1" min="6" max="6"/>
    <col width="18" customWidth="1" min="7" max="7"/>
    <col width="14" customWidth="1" min="8" max="8"/>
  </cols>
  <sheetData>
    <row r="1">
      <c r="A1" s="7" t="inlineStr">
        <is>
          <t>COTIZ_PROCESO · Lo que estimó el cotizador por proceso: es la línea base justa del modelo.  (Cotizador · al cotizar (antes de ejecutar))</t>
        </is>
      </c>
    </row>
    <row r="2" ht="42" customHeight="1">
      <c r="A2" s="8" t="inlineStr">
        <is>
          <t>Código OT</t>
        </is>
      </c>
      <c r="B2" s="8" t="inlineStr">
        <is>
          <t>Proceso</t>
        </is>
      </c>
      <c r="C2" s="8" t="inlineStr">
        <is>
          <t>HH estimadas</t>
        </is>
      </c>
      <c r="D2" s="8" t="inlineStr">
        <is>
          <t>Días estimados</t>
        </is>
      </c>
      <c r="E2" s="8" t="inlineStr">
        <is>
          <t>Cuadrilla supuesta</t>
        </is>
      </c>
      <c r="F2" s="8" t="inlineStr">
        <is>
          <t>Contratista previsto</t>
        </is>
      </c>
      <c r="G2" s="8" t="inlineStr">
        <is>
          <t>Estimado por</t>
        </is>
      </c>
      <c r="H2" s="8" t="inlineStr">
        <is>
          <t>Fecha de estimación</t>
        </is>
      </c>
    </row>
    <row r="3">
      <c r="A3" s="9" t="inlineStr">
        <is>
          <t>OT-2026-015</t>
        </is>
      </c>
      <c r="B3" s="9" t="inlineStr">
        <is>
          <t>08 Armado</t>
        </is>
      </c>
      <c r="C3" s="9" t="n">
        <v>340</v>
      </c>
      <c r="D3" s="9" t="n">
        <v>9</v>
      </c>
      <c r="E3" s="9" t="n">
        <v>5</v>
      </c>
      <c r="F3" s="9" t="inlineStr">
        <is>
          <t>T&amp;C FABRICACION</t>
        </is>
      </c>
      <c r="G3" s="9" t="inlineStr">
        <is>
          <t>Cotizador</t>
        </is>
      </c>
      <c r="H3" s="9" t="inlineStr">
        <is>
          <t>2026-10-02</t>
        </is>
      </c>
      <c r="I3" s="11" t="inlineStr">
        <is>
          <t>← EJEMPLO: borrar esta fila</t>
        </is>
      </c>
    </row>
    <row r="4">
      <c r="B4" s="12" t="n"/>
      <c r="F4" s="12" t="n"/>
    </row>
    <row r="5">
      <c r="B5" s="12" t="n"/>
      <c r="F5" s="12" t="n"/>
    </row>
    <row r="6">
      <c r="B6" s="12" t="n"/>
      <c r="F6" s="12" t="n"/>
    </row>
    <row r="7">
      <c r="B7" s="12" t="n"/>
      <c r="F7" s="12" t="n"/>
    </row>
    <row r="8">
      <c r="B8" s="12" t="n"/>
      <c r="F8" s="12" t="n"/>
    </row>
    <row r="9">
      <c r="B9" s="12" t="n"/>
      <c r="F9" s="12" t="n"/>
    </row>
    <row r="10">
      <c r="B10" s="12" t="n"/>
      <c r="F10" s="12" t="n"/>
    </row>
    <row r="11">
      <c r="B11" s="12" t="n"/>
      <c r="F11" s="12" t="n"/>
    </row>
    <row r="12">
      <c r="B12" s="12" t="n"/>
      <c r="F12" s="12" t="n"/>
    </row>
    <row r="13">
      <c r="B13" s="12" t="n"/>
      <c r="F13" s="12" t="n"/>
    </row>
    <row r="14">
      <c r="B14" s="12" t="n"/>
      <c r="F14" s="12" t="n"/>
    </row>
    <row r="15">
      <c r="B15" s="12" t="n"/>
      <c r="F15" s="12" t="n"/>
    </row>
    <row r="16">
      <c r="B16" s="12" t="n"/>
      <c r="F16" s="12" t="n"/>
    </row>
    <row r="17">
      <c r="B17" s="12" t="n"/>
      <c r="F17" s="12" t="n"/>
    </row>
    <row r="18">
      <c r="B18" s="12" t="n"/>
      <c r="F18" s="12" t="n"/>
    </row>
    <row r="19">
      <c r="B19" s="12" t="n"/>
      <c r="F19" s="12" t="n"/>
    </row>
    <row r="20">
      <c r="B20" s="12" t="n"/>
      <c r="F20" s="12" t="n"/>
    </row>
    <row r="21">
      <c r="B21" s="12" t="n"/>
      <c r="F21" s="12" t="n"/>
    </row>
    <row r="22">
      <c r="B22" s="12" t="n"/>
      <c r="F22" s="12" t="n"/>
    </row>
    <row r="23">
      <c r="B23" s="12" t="n"/>
      <c r="F23" s="12" t="n"/>
    </row>
    <row r="24">
      <c r="B24" s="12" t="n"/>
      <c r="F24" s="12" t="n"/>
    </row>
    <row r="25">
      <c r="B25" s="12" t="n"/>
      <c r="F25" s="12" t="n"/>
    </row>
    <row r="26">
      <c r="B26" s="12" t="n"/>
      <c r="F26" s="12" t="n"/>
    </row>
    <row r="27">
      <c r="B27" s="12" t="n"/>
      <c r="F27" s="12" t="n"/>
    </row>
    <row r="28">
      <c r="B28" s="12" t="n"/>
      <c r="F28" s="12" t="n"/>
    </row>
    <row r="29">
      <c r="B29" s="12" t="n"/>
      <c r="F29" s="12" t="n"/>
    </row>
    <row r="30">
      <c r="B30" s="12" t="n"/>
      <c r="F30" s="12" t="n"/>
    </row>
    <row r="31">
      <c r="B31" s="12" t="n"/>
      <c r="F31" s="12" t="n"/>
    </row>
    <row r="32">
      <c r="B32" s="12" t="n"/>
      <c r="F32" s="12" t="n"/>
    </row>
    <row r="33">
      <c r="B33" s="12" t="n"/>
      <c r="F33" s="12" t="n"/>
    </row>
    <row r="34">
      <c r="B34" s="12" t="n"/>
      <c r="F34" s="12" t="n"/>
    </row>
    <row r="35">
      <c r="B35" s="12" t="n"/>
      <c r="F35" s="12" t="n"/>
    </row>
    <row r="36">
      <c r="B36" s="12" t="n"/>
      <c r="F36" s="12" t="n"/>
    </row>
    <row r="37">
      <c r="B37" s="12" t="n"/>
      <c r="F37" s="12" t="n"/>
    </row>
    <row r="38">
      <c r="B38" s="12" t="n"/>
      <c r="F38" s="12" t="n"/>
    </row>
    <row r="39">
      <c r="B39" s="12" t="n"/>
      <c r="F39" s="12" t="n"/>
    </row>
    <row r="40">
      <c r="B40" s="12" t="n"/>
      <c r="F40" s="12" t="n"/>
    </row>
    <row r="41">
      <c r="B41" s="12" t="n"/>
      <c r="F41" s="12" t="n"/>
    </row>
    <row r="42">
      <c r="B42" s="12" t="n"/>
      <c r="F42" s="12" t="n"/>
    </row>
    <row r="43">
      <c r="B43" s="12" t="n"/>
      <c r="F43" s="12" t="n"/>
    </row>
    <row r="44">
      <c r="B44" s="12" t="n"/>
      <c r="F44" s="12" t="n"/>
    </row>
    <row r="45">
      <c r="B45" s="12" t="n"/>
      <c r="F45" s="12" t="n"/>
    </row>
    <row r="46">
      <c r="B46" s="12" t="n"/>
      <c r="F46" s="12" t="n"/>
    </row>
    <row r="47">
      <c r="B47" s="12" t="n"/>
      <c r="F47" s="12" t="n"/>
    </row>
    <row r="48">
      <c r="B48" s="12" t="n"/>
      <c r="F48" s="12" t="n"/>
    </row>
    <row r="49">
      <c r="B49" s="12" t="n"/>
      <c r="F49" s="12" t="n"/>
    </row>
    <row r="50">
      <c r="B50" s="12" t="n"/>
      <c r="F50" s="12" t="n"/>
    </row>
    <row r="51">
      <c r="B51" s="12" t="n"/>
      <c r="F51" s="12" t="n"/>
    </row>
    <row r="52">
      <c r="B52" s="12" t="n"/>
      <c r="F52" s="12" t="n"/>
    </row>
    <row r="53">
      <c r="B53" s="12" t="n"/>
      <c r="F53" s="12" t="n"/>
    </row>
    <row r="54">
      <c r="B54" s="12" t="n"/>
      <c r="F54" s="12" t="n"/>
    </row>
    <row r="55">
      <c r="B55" s="12" t="n"/>
      <c r="F55" s="12" t="n"/>
    </row>
    <row r="56">
      <c r="B56" s="12" t="n"/>
      <c r="F56" s="12" t="n"/>
    </row>
    <row r="57">
      <c r="B57" s="12" t="n"/>
      <c r="F57" s="12" t="n"/>
    </row>
    <row r="58">
      <c r="B58" s="12" t="n"/>
      <c r="F58" s="12" t="n"/>
    </row>
    <row r="59">
      <c r="B59" s="12" t="n"/>
      <c r="F59" s="12" t="n"/>
    </row>
  </sheetData>
  <mergeCells count="1">
    <mergeCell ref="A1:H1"/>
  </mergeCells>
  <dataValidations count="5">
    <dataValidation sqref="B3:B500" showDropDown="0" showInputMessage="0" showErrorMessage="1" allowBlank="1" errorTitle="Valor no válido" error="Elija un valor de la lista desplegable." type="list">
      <formula1>=LISTAS!$A$2:$A$14</formula1>
    </dataValidation>
    <dataValidation sqref="C3:C500" showDropDown="0" showInputMessage="0" showErrorMessage="1" allowBlank="1" error="Número mayor o igual a 0." type="decimal" operator="greaterThanOrEqual">
      <formula1>0</formula1>
    </dataValidation>
    <dataValidation sqref="D3:D500" showDropDown="0" showInputMessage="0" showErrorMessage="1" allowBlank="1" error="Número mayor o igual a 0." type="decimal" operator="greaterThanOrEqual">
      <formula1>0</formula1>
    </dataValidation>
    <dataValidation sqref="E3:E500" showDropDown="0" showInputMessage="0" showErrorMessage="1" allowBlank="1" error="Número entero." type="whole" operator="between">
      <formula1>0</formula1>
      <formula2>100000</formula2>
    </dataValidation>
    <dataValidation sqref="F3:F500" showDropDown="0" showInputMessage="0" showErrorMessage="1" allowBlank="1" errorTitle="Valor no válido" error="Elija un valor de la lista desplegable." type="list">
      <formula1>=LISTAS!$M$2:$M$8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16" customWidth="1" min="5" max="5"/>
    <col width="11" customWidth="1" min="6" max="6"/>
    <col width="9" customWidth="1" min="7" max="7"/>
    <col width="12" customWidth="1" min="8" max="8"/>
    <col width="12" customWidth="1" min="9" max="9"/>
    <col width="18" customWidth="1" min="10" max="10"/>
    <col width="11" customWidth="1" min="11" max="11"/>
    <col width="20" customWidth="1" min="12" max="12"/>
    <col width="7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7" t="inlineStr">
        <is>
          <t>PIEZAS · Igual al control por pieza OPE-PRO-FR: una fila por elemento con sus fechas de avance.  (Oficina técnica + taller · por O.F.)</t>
        </is>
      </c>
    </row>
    <row r="2" ht="42" customHeight="1">
      <c r="A2" s="8" t="inlineStr">
        <is>
          <t>Código OT</t>
        </is>
      </c>
      <c r="B2" s="8" t="inlineStr">
        <is>
          <t>N° item</t>
        </is>
      </c>
      <c r="C2" s="8" t="inlineStr">
        <is>
          <t>Tipo de elemento</t>
        </is>
      </c>
      <c r="D2" s="8" t="inlineStr">
        <is>
          <t>Conjunto / marca</t>
        </is>
      </c>
      <c r="E2" s="8" t="inlineStr">
        <is>
          <t>Perfil</t>
        </is>
      </c>
      <c r="F2" s="8" t="inlineStr">
        <is>
          <t>Longitud (mm)</t>
        </is>
      </c>
      <c r="G2" s="8" t="inlineStr">
        <is>
          <t>Cantidad</t>
        </is>
      </c>
      <c r="H2" s="8" t="inlineStr">
        <is>
          <t>Peso unit. neto (kg)</t>
        </is>
      </c>
      <c r="I2" s="14" t="inlineStr">
        <is>
          <t>Peso total (kg)</t>
        </is>
      </c>
      <c r="J2" s="14" t="inlineStr">
        <is>
          <t>Clase de peso</t>
        </is>
      </c>
      <c r="K2" s="8" t="inlineStr">
        <is>
          <t>Área total (m²)</t>
        </is>
      </c>
      <c r="L2" s="8" t="inlineStr">
        <is>
          <t>Contratista</t>
        </is>
      </c>
      <c r="M2" s="8" t="inlineStr">
        <is>
          <t>O.F.</t>
        </is>
      </c>
      <c r="N2" s="8" t="inlineStr">
        <is>
          <t>P.U. (S/ por kg)</t>
        </is>
      </c>
      <c r="O2" s="8" t="inlineStr">
        <is>
          <t>F. habilitado</t>
        </is>
      </c>
      <c r="P2" s="8" t="inlineStr">
        <is>
          <t>F. armado</t>
        </is>
      </c>
      <c r="Q2" s="8" t="inlineStr">
        <is>
          <t>F. soldeo</t>
        </is>
      </c>
      <c r="R2" s="8" t="inlineStr">
        <is>
          <t>F. liberación calidad</t>
        </is>
      </c>
      <c r="S2" s="8" t="inlineStr">
        <is>
          <t>F. granallado</t>
        </is>
      </c>
      <c r="T2" s="8" t="inlineStr">
        <is>
          <t>F. pintura</t>
        </is>
      </c>
      <c r="U2" s="8" t="inlineStr">
        <is>
          <t>F. despacho</t>
        </is>
      </c>
    </row>
    <row r="3">
      <c r="A3" s="9" t="inlineStr">
        <is>
          <t>OT-2026-015</t>
        </is>
      </c>
      <c r="B3" s="9" t="n">
        <v>1</v>
      </c>
      <c r="C3" s="9" t="inlineStr">
        <is>
          <t>TIJERAL</t>
        </is>
      </c>
      <c r="D3" s="9" t="inlineStr">
        <is>
          <t>T-1</t>
        </is>
      </c>
      <c r="E3" s="9" t="inlineStr">
        <is>
          <t>L3x3x1/4</t>
        </is>
      </c>
      <c r="F3" s="9" t="n">
        <v>9850</v>
      </c>
      <c r="G3" s="9" t="n">
        <v>2</v>
      </c>
      <c r="H3" s="9" t="n">
        <v>412.5</v>
      </c>
      <c r="I3" s="15">
        <f>IF(AND(G3&lt;&gt;"",H3&lt;&gt;""),G3*H3,"")</f>
        <v/>
      </c>
      <c r="J3" s="15">
        <f>IF(H3="","",IF(H3&lt;=250,"Liviana (0-250 kg)",IF(H3&lt;=1000,"Mediana (251-1000 kg)","Pesada (&gt;1000 kg)")))</f>
        <v/>
      </c>
      <c r="K3" s="9" t="n">
        <v>9.6</v>
      </c>
      <c r="L3" s="9" t="inlineStr">
        <is>
          <t>T&amp;C FABRICACION</t>
        </is>
      </c>
      <c r="M3" s="9" t="n">
        <v>5</v>
      </c>
      <c r="N3" s="9" t="n">
        <v>0.6</v>
      </c>
      <c r="O3" s="9" t="inlineStr">
        <is>
          <t>2026-10-20</t>
        </is>
      </c>
      <c r="P3" s="9" t="inlineStr">
        <is>
          <t>2026-10-23</t>
        </is>
      </c>
      <c r="Q3" s="9" t="inlineStr">
        <is>
          <t>2026-10-26</t>
        </is>
      </c>
      <c r="R3" s="9" t="inlineStr">
        <is>
          <t>2026-10-27</t>
        </is>
      </c>
      <c r="S3" s="9" t="n"/>
      <c r="T3" s="9" t="n"/>
      <c r="U3" s="9" t="n"/>
      <c r="V3" s="11" t="inlineStr">
        <is>
          <t>← EJEMPLO: borrar esta fila</t>
        </is>
      </c>
    </row>
    <row r="4">
      <c r="C4" s="12" t="n"/>
      <c r="I4" s="16">
        <f>IF(AND(G4&lt;&gt;"",H4&lt;&gt;""),G4*H4,"")</f>
        <v/>
      </c>
      <c r="J4" s="16">
        <f>IF(H4="","",IF(H4&lt;=250,"Liviana (0-250 kg)",IF(H4&lt;=1000,"Mediana (251-1000 kg)","Pesada (&gt;1000 kg)")))</f>
        <v/>
      </c>
      <c r="L4" s="12" t="n"/>
    </row>
    <row r="5">
      <c r="C5" s="12" t="n"/>
      <c r="I5" s="16">
        <f>IF(AND(G5&lt;&gt;"",H5&lt;&gt;""),G5*H5,"")</f>
        <v/>
      </c>
      <c r="J5" s="16">
        <f>IF(H5="","",IF(H5&lt;=250,"Liviana (0-250 kg)",IF(H5&lt;=1000,"Mediana (251-1000 kg)","Pesada (&gt;1000 kg)")))</f>
        <v/>
      </c>
      <c r="L5" s="12" t="n"/>
    </row>
    <row r="6">
      <c r="C6" s="12" t="n"/>
      <c r="I6" s="16">
        <f>IF(AND(G6&lt;&gt;"",H6&lt;&gt;""),G6*H6,"")</f>
        <v/>
      </c>
      <c r="J6" s="16">
        <f>IF(H6="","",IF(H6&lt;=250,"Liviana (0-250 kg)",IF(H6&lt;=1000,"Mediana (251-1000 kg)","Pesada (&gt;1000 kg)")))</f>
        <v/>
      </c>
      <c r="L6" s="12" t="n"/>
    </row>
    <row r="7">
      <c r="C7" s="12" t="n"/>
      <c r="I7" s="16">
        <f>IF(AND(G7&lt;&gt;"",H7&lt;&gt;""),G7*H7,"")</f>
        <v/>
      </c>
      <c r="J7" s="16">
        <f>IF(H7="","",IF(H7&lt;=250,"Liviana (0-250 kg)",IF(H7&lt;=1000,"Mediana (251-1000 kg)","Pesada (&gt;1000 kg)")))</f>
        <v/>
      </c>
      <c r="L7" s="12" t="n"/>
    </row>
    <row r="8">
      <c r="C8" s="12" t="n"/>
      <c r="I8" s="16">
        <f>IF(AND(G8&lt;&gt;"",H8&lt;&gt;""),G8*H8,"")</f>
        <v/>
      </c>
      <c r="J8" s="16">
        <f>IF(H8="","",IF(H8&lt;=250,"Liviana (0-250 kg)",IF(H8&lt;=1000,"Mediana (251-1000 kg)","Pesada (&gt;1000 kg)")))</f>
        <v/>
      </c>
      <c r="L8" s="12" t="n"/>
    </row>
    <row r="9">
      <c r="C9" s="12" t="n"/>
      <c r="I9" s="16">
        <f>IF(AND(G9&lt;&gt;"",H9&lt;&gt;""),G9*H9,"")</f>
        <v/>
      </c>
      <c r="J9" s="16">
        <f>IF(H9="","",IF(H9&lt;=250,"Liviana (0-250 kg)",IF(H9&lt;=1000,"Mediana (251-1000 kg)","Pesada (&gt;1000 kg)")))</f>
        <v/>
      </c>
      <c r="L9" s="12" t="n"/>
    </row>
    <row r="10">
      <c r="C10" s="12" t="n"/>
      <c r="I10" s="16">
        <f>IF(AND(G10&lt;&gt;"",H10&lt;&gt;""),G10*H10,"")</f>
        <v/>
      </c>
      <c r="J10" s="16">
        <f>IF(H10="","",IF(H10&lt;=250,"Liviana (0-250 kg)",IF(H10&lt;=1000,"Mediana (251-1000 kg)","Pesada (&gt;1000 kg)")))</f>
        <v/>
      </c>
      <c r="L10" s="12" t="n"/>
    </row>
    <row r="11">
      <c r="C11" s="12" t="n"/>
      <c r="I11" s="16">
        <f>IF(AND(G11&lt;&gt;"",H11&lt;&gt;""),G11*H11,"")</f>
        <v/>
      </c>
      <c r="J11" s="16">
        <f>IF(H11="","",IF(H11&lt;=250,"Liviana (0-250 kg)",IF(H11&lt;=1000,"Mediana (251-1000 kg)","Pesada (&gt;1000 kg)")))</f>
        <v/>
      </c>
      <c r="L11" s="12" t="n"/>
    </row>
    <row r="12">
      <c r="C12" s="12" t="n"/>
      <c r="I12" s="16">
        <f>IF(AND(G12&lt;&gt;"",H12&lt;&gt;""),G12*H12,"")</f>
        <v/>
      </c>
      <c r="J12" s="16">
        <f>IF(H12="","",IF(H12&lt;=250,"Liviana (0-250 kg)",IF(H12&lt;=1000,"Mediana (251-1000 kg)","Pesada (&gt;1000 kg)")))</f>
        <v/>
      </c>
      <c r="L12" s="12" t="n"/>
    </row>
    <row r="13">
      <c r="C13" s="12" t="n"/>
      <c r="I13" s="16">
        <f>IF(AND(G13&lt;&gt;"",H13&lt;&gt;""),G13*H13,"")</f>
        <v/>
      </c>
      <c r="J13" s="16">
        <f>IF(H13="","",IF(H13&lt;=250,"Liviana (0-250 kg)",IF(H13&lt;=1000,"Mediana (251-1000 kg)","Pesada (&gt;1000 kg)")))</f>
        <v/>
      </c>
      <c r="L13" s="12" t="n"/>
    </row>
    <row r="14">
      <c r="C14" s="12" t="n"/>
      <c r="I14" s="16">
        <f>IF(AND(G14&lt;&gt;"",H14&lt;&gt;""),G14*H14,"")</f>
        <v/>
      </c>
      <c r="J14" s="16">
        <f>IF(H14="","",IF(H14&lt;=250,"Liviana (0-250 kg)",IF(H14&lt;=1000,"Mediana (251-1000 kg)","Pesada (&gt;1000 kg)")))</f>
        <v/>
      </c>
      <c r="L14" s="12" t="n"/>
    </row>
    <row r="15">
      <c r="C15" s="12" t="n"/>
      <c r="I15" s="16">
        <f>IF(AND(G15&lt;&gt;"",H15&lt;&gt;""),G15*H15,"")</f>
        <v/>
      </c>
      <c r="J15" s="16">
        <f>IF(H15="","",IF(H15&lt;=250,"Liviana (0-250 kg)",IF(H15&lt;=1000,"Mediana (251-1000 kg)","Pesada (&gt;1000 kg)")))</f>
        <v/>
      </c>
      <c r="L15" s="12" t="n"/>
    </row>
    <row r="16">
      <c r="C16" s="12" t="n"/>
      <c r="I16" s="16">
        <f>IF(AND(G16&lt;&gt;"",H16&lt;&gt;""),G16*H16,"")</f>
        <v/>
      </c>
      <c r="J16" s="16">
        <f>IF(H16="","",IF(H16&lt;=250,"Liviana (0-250 kg)",IF(H16&lt;=1000,"Mediana (251-1000 kg)","Pesada (&gt;1000 kg)")))</f>
        <v/>
      </c>
      <c r="L16" s="12" t="n"/>
    </row>
    <row r="17">
      <c r="C17" s="12" t="n"/>
      <c r="I17" s="16">
        <f>IF(AND(G17&lt;&gt;"",H17&lt;&gt;""),G17*H17,"")</f>
        <v/>
      </c>
      <c r="J17" s="16">
        <f>IF(H17="","",IF(H17&lt;=250,"Liviana (0-250 kg)",IF(H17&lt;=1000,"Mediana (251-1000 kg)","Pesada (&gt;1000 kg)")))</f>
        <v/>
      </c>
      <c r="L17" s="12" t="n"/>
    </row>
    <row r="18">
      <c r="C18" s="12" t="n"/>
      <c r="I18" s="16">
        <f>IF(AND(G18&lt;&gt;"",H18&lt;&gt;""),G18*H18,"")</f>
        <v/>
      </c>
      <c r="J18" s="16">
        <f>IF(H18="","",IF(H18&lt;=250,"Liviana (0-250 kg)",IF(H18&lt;=1000,"Mediana (251-1000 kg)","Pesada (&gt;1000 kg)")))</f>
        <v/>
      </c>
      <c r="L18" s="12" t="n"/>
    </row>
    <row r="19">
      <c r="C19" s="12" t="n"/>
      <c r="I19" s="16">
        <f>IF(AND(G19&lt;&gt;"",H19&lt;&gt;""),G19*H19,"")</f>
        <v/>
      </c>
      <c r="J19" s="16">
        <f>IF(H19="","",IF(H19&lt;=250,"Liviana (0-250 kg)",IF(H19&lt;=1000,"Mediana (251-1000 kg)","Pesada (&gt;1000 kg)")))</f>
        <v/>
      </c>
      <c r="L19" s="12" t="n"/>
    </row>
    <row r="20">
      <c r="C20" s="12" t="n"/>
      <c r="I20" s="16">
        <f>IF(AND(G20&lt;&gt;"",H20&lt;&gt;""),G20*H20,"")</f>
        <v/>
      </c>
      <c r="J20" s="16">
        <f>IF(H20="","",IF(H20&lt;=250,"Liviana (0-250 kg)",IF(H20&lt;=1000,"Mediana (251-1000 kg)","Pesada (&gt;1000 kg)")))</f>
        <v/>
      </c>
      <c r="L20" s="12" t="n"/>
    </row>
    <row r="21">
      <c r="C21" s="12" t="n"/>
      <c r="I21" s="16">
        <f>IF(AND(G21&lt;&gt;"",H21&lt;&gt;""),G21*H21,"")</f>
        <v/>
      </c>
      <c r="J21" s="16">
        <f>IF(H21="","",IF(H21&lt;=250,"Liviana (0-250 kg)",IF(H21&lt;=1000,"Mediana (251-1000 kg)","Pesada (&gt;1000 kg)")))</f>
        <v/>
      </c>
      <c r="L21" s="12" t="n"/>
    </row>
    <row r="22">
      <c r="C22" s="12" t="n"/>
      <c r="I22" s="16">
        <f>IF(AND(G22&lt;&gt;"",H22&lt;&gt;""),G22*H22,"")</f>
        <v/>
      </c>
      <c r="J22" s="16">
        <f>IF(H22="","",IF(H22&lt;=250,"Liviana (0-250 kg)",IF(H22&lt;=1000,"Mediana (251-1000 kg)","Pesada (&gt;1000 kg)")))</f>
        <v/>
      </c>
      <c r="L22" s="12" t="n"/>
    </row>
    <row r="23">
      <c r="C23" s="12" t="n"/>
      <c r="I23" s="16">
        <f>IF(AND(G23&lt;&gt;"",H23&lt;&gt;""),G23*H23,"")</f>
        <v/>
      </c>
      <c r="J23" s="16">
        <f>IF(H23="","",IF(H23&lt;=250,"Liviana (0-250 kg)",IF(H23&lt;=1000,"Mediana (251-1000 kg)","Pesada (&gt;1000 kg)")))</f>
        <v/>
      </c>
      <c r="L23" s="12" t="n"/>
    </row>
    <row r="24">
      <c r="C24" s="12" t="n"/>
      <c r="I24" s="16">
        <f>IF(AND(G24&lt;&gt;"",H24&lt;&gt;""),G24*H24,"")</f>
        <v/>
      </c>
      <c r="J24" s="16">
        <f>IF(H24="","",IF(H24&lt;=250,"Liviana (0-250 kg)",IF(H24&lt;=1000,"Mediana (251-1000 kg)","Pesada (&gt;1000 kg)")))</f>
        <v/>
      </c>
      <c r="L24" s="12" t="n"/>
    </row>
    <row r="25">
      <c r="C25" s="12" t="n"/>
      <c r="I25" s="16">
        <f>IF(AND(G25&lt;&gt;"",H25&lt;&gt;""),G25*H25,"")</f>
        <v/>
      </c>
      <c r="J25" s="16">
        <f>IF(H25="","",IF(H25&lt;=250,"Liviana (0-250 kg)",IF(H25&lt;=1000,"Mediana (251-1000 kg)","Pesada (&gt;1000 kg)")))</f>
        <v/>
      </c>
      <c r="L25" s="12" t="n"/>
    </row>
    <row r="26">
      <c r="C26" s="12" t="n"/>
      <c r="I26" s="16">
        <f>IF(AND(G26&lt;&gt;"",H26&lt;&gt;""),G26*H26,"")</f>
        <v/>
      </c>
      <c r="J26" s="16">
        <f>IF(H26="","",IF(H26&lt;=250,"Liviana (0-250 kg)",IF(H26&lt;=1000,"Mediana (251-1000 kg)","Pesada (&gt;1000 kg)")))</f>
        <v/>
      </c>
      <c r="L26" s="12" t="n"/>
    </row>
    <row r="27">
      <c r="C27" s="12" t="n"/>
      <c r="I27" s="16">
        <f>IF(AND(G27&lt;&gt;"",H27&lt;&gt;""),G27*H27,"")</f>
        <v/>
      </c>
      <c r="J27" s="16">
        <f>IF(H27="","",IF(H27&lt;=250,"Liviana (0-250 kg)",IF(H27&lt;=1000,"Mediana (251-1000 kg)","Pesada (&gt;1000 kg)")))</f>
        <v/>
      </c>
      <c r="L27" s="12" t="n"/>
    </row>
    <row r="28">
      <c r="C28" s="12" t="n"/>
      <c r="I28" s="16">
        <f>IF(AND(G28&lt;&gt;"",H28&lt;&gt;""),G28*H28,"")</f>
        <v/>
      </c>
      <c r="J28" s="16">
        <f>IF(H28="","",IF(H28&lt;=250,"Liviana (0-250 kg)",IF(H28&lt;=1000,"Mediana (251-1000 kg)","Pesada (&gt;1000 kg)")))</f>
        <v/>
      </c>
      <c r="L28" s="12" t="n"/>
    </row>
    <row r="29">
      <c r="C29" s="12" t="n"/>
      <c r="I29" s="16">
        <f>IF(AND(G29&lt;&gt;"",H29&lt;&gt;""),G29*H29,"")</f>
        <v/>
      </c>
      <c r="J29" s="16">
        <f>IF(H29="","",IF(H29&lt;=250,"Liviana (0-250 kg)",IF(H29&lt;=1000,"Mediana (251-1000 kg)","Pesada (&gt;1000 kg)")))</f>
        <v/>
      </c>
      <c r="L29" s="12" t="n"/>
    </row>
    <row r="30">
      <c r="C30" s="12" t="n"/>
      <c r="I30" s="16">
        <f>IF(AND(G30&lt;&gt;"",H30&lt;&gt;""),G30*H30,"")</f>
        <v/>
      </c>
      <c r="J30" s="16">
        <f>IF(H30="","",IF(H30&lt;=250,"Liviana (0-250 kg)",IF(H30&lt;=1000,"Mediana (251-1000 kg)","Pesada (&gt;1000 kg)")))</f>
        <v/>
      </c>
      <c r="L30" s="12" t="n"/>
    </row>
    <row r="31">
      <c r="C31" s="12" t="n"/>
      <c r="I31" s="16">
        <f>IF(AND(G31&lt;&gt;"",H31&lt;&gt;""),G31*H31,"")</f>
        <v/>
      </c>
      <c r="J31" s="16">
        <f>IF(H31="","",IF(H31&lt;=250,"Liviana (0-250 kg)",IF(H31&lt;=1000,"Mediana (251-1000 kg)","Pesada (&gt;1000 kg)")))</f>
        <v/>
      </c>
      <c r="L31" s="12" t="n"/>
    </row>
    <row r="32">
      <c r="C32" s="12" t="n"/>
      <c r="I32" s="16">
        <f>IF(AND(G32&lt;&gt;"",H32&lt;&gt;""),G32*H32,"")</f>
        <v/>
      </c>
      <c r="J32" s="16">
        <f>IF(H32="","",IF(H32&lt;=250,"Liviana (0-250 kg)",IF(H32&lt;=1000,"Mediana (251-1000 kg)","Pesada (&gt;1000 kg)")))</f>
        <v/>
      </c>
      <c r="L32" s="12" t="n"/>
    </row>
    <row r="33">
      <c r="C33" s="12" t="n"/>
      <c r="I33" s="16">
        <f>IF(AND(G33&lt;&gt;"",H33&lt;&gt;""),G33*H33,"")</f>
        <v/>
      </c>
      <c r="J33" s="16">
        <f>IF(H33="","",IF(H33&lt;=250,"Liviana (0-250 kg)",IF(H33&lt;=1000,"Mediana (251-1000 kg)","Pesada (&gt;1000 kg)")))</f>
        <v/>
      </c>
      <c r="L33" s="12" t="n"/>
    </row>
    <row r="34">
      <c r="C34" s="12" t="n"/>
      <c r="I34" s="16">
        <f>IF(AND(G34&lt;&gt;"",H34&lt;&gt;""),G34*H34,"")</f>
        <v/>
      </c>
      <c r="J34" s="16">
        <f>IF(H34="","",IF(H34&lt;=250,"Liviana (0-250 kg)",IF(H34&lt;=1000,"Mediana (251-1000 kg)","Pesada (&gt;1000 kg)")))</f>
        <v/>
      </c>
      <c r="L34" s="12" t="n"/>
    </row>
    <row r="35">
      <c r="C35" s="12" t="n"/>
      <c r="I35" s="16">
        <f>IF(AND(G35&lt;&gt;"",H35&lt;&gt;""),G35*H35,"")</f>
        <v/>
      </c>
      <c r="J35" s="16">
        <f>IF(H35="","",IF(H35&lt;=250,"Liviana (0-250 kg)",IF(H35&lt;=1000,"Mediana (251-1000 kg)","Pesada (&gt;1000 kg)")))</f>
        <v/>
      </c>
      <c r="L35" s="12" t="n"/>
    </row>
    <row r="36">
      <c r="C36" s="12" t="n"/>
      <c r="I36" s="16">
        <f>IF(AND(G36&lt;&gt;"",H36&lt;&gt;""),G36*H36,"")</f>
        <v/>
      </c>
      <c r="J36" s="16">
        <f>IF(H36="","",IF(H36&lt;=250,"Liviana (0-250 kg)",IF(H36&lt;=1000,"Mediana (251-1000 kg)","Pesada (&gt;1000 kg)")))</f>
        <v/>
      </c>
      <c r="L36" s="12" t="n"/>
    </row>
    <row r="37">
      <c r="C37" s="12" t="n"/>
      <c r="I37" s="16">
        <f>IF(AND(G37&lt;&gt;"",H37&lt;&gt;""),G37*H37,"")</f>
        <v/>
      </c>
      <c r="J37" s="16">
        <f>IF(H37="","",IF(H37&lt;=250,"Liviana (0-250 kg)",IF(H37&lt;=1000,"Mediana (251-1000 kg)","Pesada (&gt;1000 kg)")))</f>
        <v/>
      </c>
      <c r="L37" s="12" t="n"/>
    </row>
    <row r="38">
      <c r="C38" s="12" t="n"/>
      <c r="I38" s="16">
        <f>IF(AND(G38&lt;&gt;"",H38&lt;&gt;""),G38*H38,"")</f>
        <v/>
      </c>
      <c r="J38" s="16">
        <f>IF(H38="","",IF(H38&lt;=250,"Liviana (0-250 kg)",IF(H38&lt;=1000,"Mediana (251-1000 kg)","Pesada (&gt;1000 kg)")))</f>
        <v/>
      </c>
      <c r="L38" s="12" t="n"/>
    </row>
    <row r="39">
      <c r="C39" s="12" t="n"/>
      <c r="I39" s="16">
        <f>IF(AND(G39&lt;&gt;"",H39&lt;&gt;""),G39*H39,"")</f>
        <v/>
      </c>
      <c r="J39" s="16">
        <f>IF(H39="","",IF(H39&lt;=250,"Liviana (0-250 kg)",IF(H39&lt;=1000,"Mediana (251-1000 kg)","Pesada (&gt;1000 kg)")))</f>
        <v/>
      </c>
      <c r="L39" s="12" t="n"/>
    </row>
    <row r="40">
      <c r="C40" s="12" t="n"/>
      <c r="I40" s="16">
        <f>IF(AND(G40&lt;&gt;"",H40&lt;&gt;""),G40*H40,"")</f>
        <v/>
      </c>
      <c r="J40" s="16">
        <f>IF(H40="","",IF(H40&lt;=250,"Liviana (0-250 kg)",IF(H40&lt;=1000,"Mediana (251-1000 kg)","Pesada (&gt;1000 kg)")))</f>
        <v/>
      </c>
      <c r="L40" s="12" t="n"/>
    </row>
    <row r="41">
      <c r="C41" s="12" t="n"/>
      <c r="I41" s="16">
        <f>IF(AND(G41&lt;&gt;"",H41&lt;&gt;""),G41*H41,"")</f>
        <v/>
      </c>
      <c r="J41" s="16">
        <f>IF(H41="","",IF(H41&lt;=250,"Liviana (0-250 kg)",IF(H41&lt;=1000,"Mediana (251-1000 kg)","Pesada (&gt;1000 kg)")))</f>
        <v/>
      </c>
      <c r="L41" s="12" t="n"/>
    </row>
    <row r="42">
      <c r="C42" s="12" t="n"/>
      <c r="I42" s="16">
        <f>IF(AND(G42&lt;&gt;"",H42&lt;&gt;""),G42*H42,"")</f>
        <v/>
      </c>
      <c r="J42" s="16">
        <f>IF(H42="","",IF(H42&lt;=250,"Liviana (0-250 kg)",IF(H42&lt;=1000,"Mediana (251-1000 kg)","Pesada (&gt;1000 kg)")))</f>
        <v/>
      </c>
      <c r="L42" s="12" t="n"/>
    </row>
    <row r="43">
      <c r="C43" s="12" t="n"/>
      <c r="I43" s="16">
        <f>IF(AND(G43&lt;&gt;"",H43&lt;&gt;""),G43*H43,"")</f>
        <v/>
      </c>
      <c r="J43" s="16">
        <f>IF(H43="","",IF(H43&lt;=250,"Liviana (0-250 kg)",IF(H43&lt;=1000,"Mediana (251-1000 kg)","Pesada (&gt;1000 kg)")))</f>
        <v/>
      </c>
      <c r="L43" s="12" t="n"/>
    </row>
    <row r="44">
      <c r="C44" s="12" t="n"/>
      <c r="I44" s="16">
        <f>IF(AND(G44&lt;&gt;"",H44&lt;&gt;""),G44*H44,"")</f>
        <v/>
      </c>
      <c r="J44" s="16">
        <f>IF(H44="","",IF(H44&lt;=250,"Liviana (0-250 kg)",IF(H44&lt;=1000,"Mediana (251-1000 kg)","Pesada (&gt;1000 kg)")))</f>
        <v/>
      </c>
      <c r="L44" s="12" t="n"/>
    </row>
    <row r="45">
      <c r="C45" s="12" t="n"/>
      <c r="I45" s="16">
        <f>IF(AND(G45&lt;&gt;"",H45&lt;&gt;""),G45*H45,"")</f>
        <v/>
      </c>
      <c r="J45" s="16">
        <f>IF(H45="","",IF(H45&lt;=250,"Liviana (0-250 kg)",IF(H45&lt;=1000,"Mediana (251-1000 kg)","Pesada (&gt;1000 kg)")))</f>
        <v/>
      </c>
      <c r="L45" s="12" t="n"/>
    </row>
    <row r="46">
      <c r="C46" s="12" t="n"/>
      <c r="I46" s="16">
        <f>IF(AND(G46&lt;&gt;"",H46&lt;&gt;""),G46*H46,"")</f>
        <v/>
      </c>
      <c r="J46" s="16">
        <f>IF(H46="","",IF(H46&lt;=250,"Liviana (0-250 kg)",IF(H46&lt;=1000,"Mediana (251-1000 kg)","Pesada (&gt;1000 kg)")))</f>
        <v/>
      </c>
      <c r="L46" s="12" t="n"/>
    </row>
    <row r="47">
      <c r="C47" s="12" t="n"/>
      <c r="I47" s="16">
        <f>IF(AND(G47&lt;&gt;"",H47&lt;&gt;""),G47*H47,"")</f>
        <v/>
      </c>
      <c r="J47" s="16">
        <f>IF(H47="","",IF(H47&lt;=250,"Liviana (0-250 kg)",IF(H47&lt;=1000,"Mediana (251-1000 kg)","Pesada (&gt;1000 kg)")))</f>
        <v/>
      </c>
      <c r="L47" s="12" t="n"/>
    </row>
    <row r="48">
      <c r="C48" s="12" t="n"/>
      <c r="I48" s="16">
        <f>IF(AND(G48&lt;&gt;"",H48&lt;&gt;""),G48*H48,"")</f>
        <v/>
      </c>
      <c r="J48" s="16">
        <f>IF(H48="","",IF(H48&lt;=250,"Liviana (0-250 kg)",IF(H48&lt;=1000,"Mediana (251-1000 kg)","Pesada (&gt;1000 kg)")))</f>
        <v/>
      </c>
      <c r="L48" s="12" t="n"/>
    </row>
    <row r="49">
      <c r="C49" s="12" t="n"/>
      <c r="I49" s="16">
        <f>IF(AND(G49&lt;&gt;"",H49&lt;&gt;""),G49*H49,"")</f>
        <v/>
      </c>
      <c r="J49" s="16">
        <f>IF(H49="","",IF(H49&lt;=250,"Liviana (0-250 kg)",IF(H49&lt;=1000,"Mediana (251-1000 kg)","Pesada (&gt;1000 kg)")))</f>
        <v/>
      </c>
      <c r="L49" s="12" t="n"/>
    </row>
    <row r="50">
      <c r="C50" s="12" t="n"/>
      <c r="I50" s="16">
        <f>IF(AND(G50&lt;&gt;"",H50&lt;&gt;""),G50*H50,"")</f>
        <v/>
      </c>
      <c r="J50" s="16">
        <f>IF(H50="","",IF(H50&lt;=250,"Liviana (0-250 kg)",IF(H50&lt;=1000,"Mediana (251-1000 kg)","Pesada (&gt;1000 kg)")))</f>
        <v/>
      </c>
      <c r="L50" s="12" t="n"/>
    </row>
    <row r="51">
      <c r="C51" s="12" t="n"/>
      <c r="I51" s="16">
        <f>IF(AND(G51&lt;&gt;"",H51&lt;&gt;""),G51*H51,"")</f>
        <v/>
      </c>
      <c r="J51" s="16">
        <f>IF(H51="","",IF(H51&lt;=250,"Liviana (0-250 kg)",IF(H51&lt;=1000,"Mediana (251-1000 kg)","Pesada (&gt;1000 kg)")))</f>
        <v/>
      </c>
      <c r="L51" s="12" t="n"/>
    </row>
    <row r="52">
      <c r="C52" s="12" t="n"/>
      <c r="I52" s="16">
        <f>IF(AND(G52&lt;&gt;"",H52&lt;&gt;""),G52*H52,"")</f>
        <v/>
      </c>
      <c r="J52" s="16">
        <f>IF(H52="","",IF(H52&lt;=250,"Liviana (0-250 kg)",IF(H52&lt;=1000,"Mediana (251-1000 kg)","Pesada (&gt;1000 kg)")))</f>
        <v/>
      </c>
      <c r="L52" s="12" t="n"/>
    </row>
    <row r="53">
      <c r="C53" s="12" t="n"/>
      <c r="I53" s="16">
        <f>IF(AND(G53&lt;&gt;"",H53&lt;&gt;""),G53*H53,"")</f>
        <v/>
      </c>
      <c r="J53" s="16">
        <f>IF(H53="","",IF(H53&lt;=250,"Liviana (0-250 kg)",IF(H53&lt;=1000,"Mediana (251-1000 kg)","Pesada (&gt;1000 kg)")))</f>
        <v/>
      </c>
      <c r="L53" s="12" t="n"/>
    </row>
    <row r="54">
      <c r="C54" s="12" t="n"/>
      <c r="I54" s="16">
        <f>IF(AND(G54&lt;&gt;"",H54&lt;&gt;""),G54*H54,"")</f>
        <v/>
      </c>
      <c r="J54" s="16">
        <f>IF(H54="","",IF(H54&lt;=250,"Liviana (0-250 kg)",IF(H54&lt;=1000,"Mediana (251-1000 kg)","Pesada (&gt;1000 kg)")))</f>
        <v/>
      </c>
      <c r="L54" s="12" t="n"/>
    </row>
    <row r="55">
      <c r="C55" s="12" t="n"/>
      <c r="I55" s="16">
        <f>IF(AND(G55&lt;&gt;"",H55&lt;&gt;""),G55*H55,"")</f>
        <v/>
      </c>
      <c r="J55" s="16">
        <f>IF(H55="","",IF(H55&lt;=250,"Liviana (0-250 kg)",IF(H55&lt;=1000,"Mediana (251-1000 kg)","Pesada (&gt;1000 kg)")))</f>
        <v/>
      </c>
      <c r="L55" s="12" t="n"/>
    </row>
    <row r="56">
      <c r="C56" s="12" t="n"/>
      <c r="I56" s="16">
        <f>IF(AND(G56&lt;&gt;"",H56&lt;&gt;""),G56*H56,"")</f>
        <v/>
      </c>
      <c r="J56" s="16">
        <f>IF(H56="","",IF(H56&lt;=250,"Liviana (0-250 kg)",IF(H56&lt;=1000,"Mediana (251-1000 kg)","Pesada (&gt;1000 kg)")))</f>
        <v/>
      </c>
      <c r="L56" s="12" t="n"/>
    </row>
    <row r="57">
      <c r="C57" s="12" t="n"/>
      <c r="I57" s="16">
        <f>IF(AND(G57&lt;&gt;"",H57&lt;&gt;""),G57*H57,"")</f>
        <v/>
      </c>
      <c r="J57" s="16">
        <f>IF(H57="","",IF(H57&lt;=250,"Liviana (0-250 kg)",IF(H57&lt;=1000,"Mediana (251-1000 kg)","Pesada (&gt;1000 kg)")))</f>
        <v/>
      </c>
      <c r="L57" s="12" t="n"/>
    </row>
    <row r="58">
      <c r="C58" s="12" t="n"/>
      <c r="I58" s="16">
        <f>IF(AND(G58&lt;&gt;"",H58&lt;&gt;""),G58*H58,"")</f>
        <v/>
      </c>
      <c r="J58" s="16">
        <f>IF(H58="","",IF(H58&lt;=250,"Liviana (0-250 kg)",IF(H58&lt;=1000,"Mediana (251-1000 kg)","Pesada (&gt;1000 kg)")))</f>
        <v/>
      </c>
      <c r="L58" s="12" t="n"/>
    </row>
    <row r="59">
      <c r="C59" s="12" t="n"/>
      <c r="I59" s="16">
        <f>IF(AND(G59&lt;&gt;"",H59&lt;&gt;""),G59*H59,"")</f>
        <v/>
      </c>
      <c r="J59" s="16">
        <f>IF(H59="","",IF(H59&lt;=250,"Liviana (0-250 kg)",IF(H59&lt;=1000,"Mediana (251-1000 kg)","Pesada (&gt;1000 kg)")))</f>
        <v/>
      </c>
      <c r="L59" s="12" t="n"/>
    </row>
    <row r="60">
      <c r="I60" s="16">
        <f>IF(AND(G60&lt;&gt;"",H60&lt;&gt;""),G60*H60,"")</f>
        <v/>
      </c>
      <c r="J60" s="16">
        <f>IF(H60="","",IF(H60&lt;=250,"Liviana (0-250 kg)",IF(H60&lt;=1000,"Mediana (251-1000 kg)","Pesada (&gt;1000 kg)")))</f>
        <v/>
      </c>
    </row>
    <row r="61">
      <c r="I61" s="16">
        <f>IF(AND(G61&lt;&gt;"",H61&lt;&gt;""),G61*H61,"")</f>
        <v/>
      </c>
      <c r="J61" s="16">
        <f>IF(H61="","",IF(H61&lt;=250,"Liviana (0-250 kg)",IF(H61&lt;=1000,"Mediana (251-1000 kg)","Pesada (&gt;1000 kg)")))</f>
        <v/>
      </c>
    </row>
    <row r="62">
      <c r="I62" s="16">
        <f>IF(AND(G62&lt;&gt;"",H62&lt;&gt;""),G62*H62,"")</f>
        <v/>
      </c>
      <c r="J62" s="16">
        <f>IF(H62="","",IF(H62&lt;=250,"Liviana (0-250 kg)",IF(H62&lt;=1000,"Mediana (251-1000 kg)","Pesada (&gt;1000 kg)")))</f>
        <v/>
      </c>
    </row>
    <row r="63">
      <c r="I63" s="16">
        <f>IF(AND(G63&lt;&gt;"",H63&lt;&gt;""),G63*H63,"")</f>
        <v/>
      </c>
      <c r="J63" s="16">
        <f>IF(H63="","",IF(H63&lt;=250,"Liviana (0-250 kg)",IF(H63&lt;=1000,"Mediana (251-1000 kg)","Pesada (&gt;1000 kg)")))</f>
        <v/>
      </c>
    </row>
    <row r="64">
      <c r="I64" s="16">
        <f>IF(AND(G64&lt;&gt;"",H64&lt;&gt;""),G64*H64,"")</f>
        <v/>
      </c>
      <c r="J64" s="16">
        <f>IF(H64="","",IF(H64&lt;=250,"Liviana (0-250 kg)",IF(H64&lt;=1000,"Mediana (251-1000 kg)","Pesada (&gt;1000 kg)")))</f>
        <v/>
      </c>
    </row>
    <row r="65">
      <c r="I65" s="16">
        <f>IF(AND(G65&lt;&gt;"",H65&lt;&gt;""),G65*H65,"")</f>
        <v/>
      </c>
      <c r="J65" s="16">
        <f>IF(H65="","",IF(H65&lt;=250,"Liviana (0-250 kg)",IF(H65&lt;=1000,"Mediana (251-1000 kg)","Pesada (&gt;1000 kg)")))</f>
        <v/>
      </c>
    </row>
    <row r="66">
      <c r="I66" s="16">
        <f>IF(AND(G66&lt;&gt;"",H66&lt;&gt;""),G66*H66,"")</f>
        <v/>
      </c>
      <c r="J66" s="16">
        <f>IF(H66="","",IF(H66&lt;=250,"Liviana (0-250 kg)",IF(H66&lt;=1000,"Mediana (251-1000 kg)","Pesada (&gt;1000 kg)")))</f>
        <v/>
      </c>
    </row>
    <row r="67">
      <c r="I67" s="16">
        <f>IF(AND(G67&lt;&gt;"",H67&lt;&gt;""),G67*H67,"")</f>
        <v/>
      </c>
      <c r="J67" s="16">
        <f>IF(H67="","",IF(H67&lt;=250,"Liviana (0-250 kg)",IF(H67&lt;=1000,"Mediana (251-1000 kg)","Pesada (&gt;1000 kg)")))</f>
        <v/>
      </c>
    </row>
    <row r="68">
      <c r="I68" s="16">
        <f>IF(AND(G68&lt;&gt;"",H68&lt;&gt;""),G68*H68,"")</f>
        <v/>
      </c>
      <c r="J68" s="16">
        <f>IF(H68="","",IF(H68&lt;=250,"Liviana (0-250 kg)",IF(H68&lt;=1000,"Mediana (251-1000 kg)","Pesada (&gt;1000 kg)")))</f>
        <v/>
      </c>
    </row>
    <row r="69">
      <c r="I69" s="16">
        <f>IF(AND(G69&lt;&gt;"",H69&lt;&gt;""),G69*H69,"")</f>
        <v/>
      </c>
      <c r="J69" s="16">
        <f>IF(H69="","",IF(H69&lt;=250,"Liviana (0-250 kg)",IF(H69&lt;=1000,"Mediana (251-1000 kg)","Pesada (&gt;1000 kg)")))</f>
        <v/>
      </c>
    </row>
    <row r="70">
      <c r="I70" s="16">
        <f>IF(AND(G70&lt;&gt;"",H70&lt;&gt;""),G70*H70,"")</f>
        <v/>
      </c>
      <c r="J70" s="16">
        <f>IF(H70="","",IF(H70&lt;=250,"Liviana (0-250 kg)",IF(H70&lt;=1000,"Mediana (251-1000 kg)","Pesada (&gt;1000 kg)")))</f>
        <v/>
      </c>
    </row>
    <row r="71">
      <c r="I71" s="16">
        <f>IF(AND(G71&lt;&gt;"",H71&lt;&gt;""),G71*H71,"")</f>
        <v/>
      </c>
      <c r="J71" s="16">
        <f>IF(H71="","",IF(H71&lt;=250,"Liviana (0-250 kg)",IF(H71&lt;=1000,"Mediana (251-1000 kg)","Pesada (&gt;1000 kg)")))</f>
        <v/>
      </c>
    </row>
    <row r="72">
      <c r="I72" s="16">
        <f>IF(AND(G72&lt;&gt;"",H72&lt;&gt;""),G72*H72,"")</f>
        <v/>
      </c>
      <c r="J72" s="16">
        <f>IF(H72="","",IF(H72&lt;=250,"Liviana (0-250 kg)",IF(H72&lt;=1000,"Mediana (251-1000 kg)","Pesada (&gt;1000 kg)")))</f>
        <v/>
      </c>
    </row>
    <row r="73">
      <c r="I73" s="16">
        <f>IF(AND(G73&lt;&gt;"",H73&lt;&gt;""),G73*H73,"")</f>
        <v/>
      </c>
      <c r="J73" s="16">
        <f>IF(H73="","",IF(H73&lt;=250,"Liviana (0-250 kg)",IF(H73&lt;=1000,"Mediana (251-1000 kg)","Pesada (&gt;1000 kg)")))</f>
        <v/>
      </c>
    </row>
    <row r="74">
      <c r="I74" s="16">
        <f>IF(AND(G74&lt;&gt;"",H74&lt;&gt;""),G74*H74,"")</f>
        <v/>
      </c>
      <c r="J74" s="16">
        <f>IF(H74="","",IF(H74&lt;=250,"Liviana (0-250 kg)",IF(H74&lt;=1000,"Mediana (251-1000 kg)","Pesada (&gt;1000 kg)")))</f>
        <v/>
      </c>
    </row>
    <row r="75">
      <c r="I75" s="16">
        <f>IF(AND(G75&lt;&gt;"",H75&lt;&gt;""),G75*H75,"")</f>
        <v/>
      </c>
      <c r="J75" s="16">
        <f>IF(H75="","",IF(H75&lt;=250,"Liviana (0-250 kg)",IF(H75&lt;=1000,"Mediana (251-1000 kg)","Pesada (&gt;1000 kg)")))</f>
        <v/>
      </c>
    </row>
    <row r="76">
      <c r="I76" s="16">
        <f>IF(AND(G76&lt;&gt;"",H76&lt;&gt;""),G76*H76,"")</f>
        <v/>
      </c>
      <c r="J76" s="16">
        <f>IF(H76="","",IF(H76&lt;=250,"Liviana (0-250 kg)",IF(H76&lt;=1000,"Mediana (251-1000 kg)","Pesada (&gt;1000 kg)")))</f>
        <v/>
      </c>
    </row>
    <row r="77">
      <c r="I77" s="16">
        <f>IF(AND(G77&lt;&gt;"",H77&lt;&gt;""),G77*H77,"")</f>
        <v/>
      </c>
      <c r="J77" s="16">
        <f>IF(H77="","",IF(H77&lt;=250,"Liviana (0-250 kg)",IF(H77&lt;=1000,"Mediana (251-1000 kg)","Pesada (&gt;1000 kg)")))</f>
        <v/>
      </c>
    </row>
    <row r="78">
      <c r="I78" s="16">
        <f>IF(AND(G78&lt;&gt;"",H78&lt;&gt;""),G78*H78,"")</f>
        <v/>
      </c>
      <c r="J78" s="16">
        <f>IF(H78="","",IF(H78&lt;=250,"Liviana (0-250 kg)",IF(H78&lt;=1000,"Mediana (251-1000 kg)","Pesada (&gt;1000 kg)")))</f>
        <v/>
      </c>
    </row>
    <row r="79">
      <c r="I79" s="16">
        <f>IF(AND(G79&lt;&gt;"",H79&lt;&gt;""),G79*H79,"")</f>
        <v/>
      </c>
      <c r="J79" s="16">
        <f>IF(H79="","",IF(H79&lt;=250,"Liviana (0-250 kg)",IF(H79&lt;=1000,"Mediana (251-1000 kg)","Pesada (&gt;1000 kg)")))</f>
        <v/>
      </c>
    </row>
    <row r="80">
      <c r="I80" s="16">
        <f>IF(AND(G80&lt;&gt;"",H80&lt;&gt;""),G80*H80,"")</f>
        <v/>
      </c>
      <c r="J80" s="16">
        <f>IF(H80="","",IF(H80&lt;=250,"Liviana (0-250 kg)",IF(H80&lt;=1000,"Mediana (251-1000 kg)","Pesada (&gt;1000 kg)")))</f>
        <v/>
      </c>
    </row>
    <row r="81">
      <c r="I81" s="16">
        <f>IF(AND(G81&lt;&gt;"",H81&lt;&gt;""),G81*H81,"")</f>
        <v/>
      </c>
      <c r="J81" s="16">
        <f>IF(H81="","",IF(H81&lt;=250,"Liviana (0-250 kg)",IF(H81&lt;=1000,"Mediana (251-1000 kg)","Pesada (&gt;1000 kg)")))</f>
        <v/>
      </c>
    </row>
    <row r="82">
      <c r="I82" s="16">
        <f>IF(AND(G82&lt;&gt;"",H82&lt;&gt;""),G82*H82,"")</f>
        <v/>
      </c>
      <c r="J82" s="16">
        <f>IF(H82="","",IF(H82&lt;=250,"Liviana (0-250 kg)",IF(H82&lt;=1000,"Mediana (251-1000 kg)","Pesada (&gt;1000 kg)")))</f>
        <v/>
      </c>
    </row>
    <row r="83">
      <c r="I83" s="16">
        <f>IF(AND(G83&lt;&gt;"",H83&lt;&gt;""),G83*H83,"")</f>
        <v/>
      </c>
      <c r="J83" s="16">
        <f>IF(H83="","",IF(H83&lt;=250,"Liviana (0-250 kg)",IF(H83&lt;=1000,"Mediana (251-1000 kg)","Pesada (&gt;1000 kg)")))</f>
        <v/>
      </c>
    </row>
    <row r="84">
      <c r="I84" s="16">
        <f>IF(AND(G84&lt;&gt;"",H84&lt;&gt;""),G84*H84,"")</f>
        <v/>
      </c>
      <c r="J84" s="16">
        <f>IF(H84="","",IF(H84&lt;=250,"Liviana (0-250 kg)",IF(H84&lt;=1000,"Mediana (251-1000 kg)","Pesada (&gt;1000 kg)")))</f>
        <v/>
      </c>
    </row>
    <row r="85">
      <c r="I85" s="16">
        <f>IF(AND(G85&lt;&gt;"",H85&lt;&gt;""),G85*H85,"")</f>
        <v/>
      </c>
      <c r="J85" s="16">
        <f>IF(H85="","",IF(H85&lt;=250,"Liviana (0-250 kg)",IF(H85&lt;=1000,"Mediana (251-1000 kg)","Pesada (&gt;1000 kg)")))</f>
        <v/>
      </c>
    </row>
    <row r="86">
      <c r="I86" s="16">
        <f>IF(AND(G86&lt;&gt;"",H86&lt;&gt;""),G86*H86,"")</f>
        <v/>
      </c>
      <c r="J86" s="16">
        <f>IF(H86="","",IF(H86&lt;=250,"Liviana (0-250 kg)",IF(H86&lt;=1000,"Mediana (251-1000 kg)","Pesada (&gt;1000 kg)")))</f>
        <v/>
      </c>
    </row>
    <row r="87">
      <c r="I87" s="16">
        <f>IF(AND(G87&lt;&gt;"",H87&lt;&gt;""),G87*H87,"")</f>
        <v/>
      </c>
      <c r="J87" s="16">
        <f>IF(H87="","",IF(H87&lt;=250,"Liviana (0-250 kg)",IF(H87&lt;=1000,"Mediana (251-1000 kg)","Pesada (&gt;1000 kg)")))</f>
        <v/>
      </c>
    </row>
    <row r="88">
      <c r="I88" s="16">
        <f>IF(AND(G88&lt;&gt;"",H88&lt;&gt;""),G88*H88,"")</f>
        <v/>
      </c>
      <c r="J88" s="16">
        <f>IF(H88="","",IF(H88&lt;=250,"Liviana (0-250 kg)",IF(H88&lt;=1000,"Mediana (251-1000 kg)","Pesada (&gt;1000 kg)")))</f>
        <v/>
      </c>
    </row>
    <row r="89">
      <c r="I89" s="16">
        <f>IF(AND(G89&lt;&gt;"",H89&lt;&gt;""),G89*H89,"")</f>
        <v/>
      </c>
      <c r="J89" s="16">
        <f>IF(H89="","",IF(H89&lt;=250,"Liviana (0-250 kg)",IF(H89&lt;=1000,"Mediana (251-1000 kg)","Pesada (&gt;1000 kg)")))</f>
        <v/>
      </c>
    </row>
    <row r="90">
      <c r="I90" s="16">
        <f>IF(AND(G90&lt;&gt;"",H90&lt;&gt;""),G90*H90,"")</f>
        <v/>
      </c>
      <c r="J90" s="16">
        <f>IF(H90="","",IF(H90&lt;=250,"Liviana (0-250 kg)",IF(H90&lt;=1000,"Mediana (251-1000 kg)","Pesada (&gt;1000 kg)")))</f>
        <v/>
      </c>
    </row>
    <row r="91">
      <c r="I91" s="16">
        <f>IF(AND(G91&lt;&gt;"",H91&lt;&gt;""),G91*H91,"")</f>
        <v/>
      </c>
      <c r="J91" s="16">
        <f>IF(H91="","",IF(H91&lt;=250,"Liviana (0-250 kg)",IF(H91&lt;=1000,"Mediana (251-1000 kg)","Pesada (&gt;1000 kg)")))</f>
        <v/>
      </c>
    </row>
    <row r="92">
      <c r="I92" s="16">
        <f>IF(AND(G92&lt;&gt;"",H92&lt;&gt;""),G92*H92,"")</f>
        <v/>
      </c>
      <c r="J92" s="16">
        <f>IF(H92="","",IF(H92&lt;=250,"Liviana (0-250 kg)",IF(H92&lt;=1000,"Mediana (251-1000 kg)","Pesada (&gt;1000 kg)")))</f>
        <v/>
      </c>
    </row>
    <row r="93">
      <c r="I93" s="16">
        <f>IF(AND(G93&lt;&gt;"",H93&lt;&gt;""),G93*H93,"")</f>
        <v/>
      </c>
      <c r="J93" s="16">
        <f>IF(H93="","",IF(H93&lt;=250,"Liviana (0-250 kg)",IF(H93&lt;=1000,"Mediana (251-1000 kg)","Pesada (&gt;1000 kg)")))</f>
        <v/>
      </c>
    </row>
    <row r="94">
      <c r="I94" s="16">
        <f>IF(AND(G94&lt;&gt;"",H94&lt;&gt;""),G94*H94,"")</f>
        <v/>
      </c>
      <c r="J94" s="16">
        <f>IF(H94="","",IF(H94&lt;=250,"Liviana (0-250 kg)",IF(H94&lt;=1000,"Mediana (251-1000 kg)","Pesada (&gt;1000 kg)")))</f>
        <v/>
      </c>
    </row>
    <row r="95">
      <c r="I95" s="16">
        <f>IF(AND(G95&lt;&gt;"",H95&lt;&gt;""),G95*H95,"")</f>
        <v/>
      </c>
      <c r="J95" s="16">
        <f>IF(H95="","",IF(H95&lt;=250,"Liviana (0-250 kg)",IF(H95&lt;=1000,"Mediana (251-1000 kg)","Pesada (&gt;1000 kg)")))</f>
        <v/>
      </c>
    </row>
    <row r="96">
      <c r="I96" s="16">
        <f>IF(AND(G96&lt;&gt;"",H96&lt;&gt;""),G96*H96,"")</f>
        <v/>
      </c>
      <c r="J96" s="16">
        <f>IF(H96="","",IF(H96&lt;=250,"Liviana (0-250 kg)",IF(H96&lt;=1000,"Mediana (251-1000 kg)","Pesada (&gt;1000 kg)")))</f>
        <v/>
      </c>
    </row>
    <row r="97">
      <c r="I97" s="16">
        <f>IF(AND(G97&lt;&gt;"",H97&lt;&gt;""),G97*H97,"")</f>
        <v/>
      </c>
      <c r="J97" s="16">
        <f>IF(H97="","",IF(H97&lt;=250,"Liviana (0-250 kg)",IF(H97&lt;=1000,"Mediana (251-1000 kg)","Pesada (&gt;1000 kg)")))</f>
        <v/>
      </c>
    </row>
    <row r="98">
      <c r="I98" s="16">
        <f>IF(AND(G98&lt;&gt;"",H98&lt;&gt;""),G98*H98,"")</f>
        <v/>
      </c>
      <c r="J98" s="16">
        <f>IF(H98="","",IF(H98&lt;=250,"Liviana (0-250 kg)",IF(H98&lt;=1000,"Mediana (251-1000 kg)","Pesada (&gt;1000 kg)")))</f>
        <v/>
      </c>
    </row>
    <row r="99">
      <c r="I99" s="16">
        <f>IF(AND(G99&lt;&gt;"",H99&lt;&gt;""),G99*H99,"")</f>
        <v/>
      </c>
      <c r="J99" s="16">
        <f>IF(H99="","",IF(H99&lt;=250,"Liviana (0-250 kg)",IF(H99&lt;=1000,"Mediana (251-1000 kg)","Pesada (&gt;1000 kg)")))</f>
        <v/>
      </c>
    </row>
    <row r="100">
      <c r="I100" s="16">
        <f>IF(AND(G100&lt;&gt;"",H100&lt;&gt;""),G100*H100,"")</f>
        <v/>
      </c>
      <c r="J100" s="16">
        <f>IF(H100="","",IF(H100&lt;=250,"Liviana (0-250 kg)",IF(H100&lt;=1000,"Mediana (251-1000 kg)","Pesada (&gt;1000 kg)")))</f>
        <v/>
      </c>
    </row>
    <row r="101">
      <c r="I101" s="16">
        <f>IF(AND(G101&lt;&gt;"",H101&lt;&gt;""),G101*H101,"")</f>
        <v/>
      </c>
      <c r="J101" s="16">
        <f>IF(H101="","",IF(H101&lt;=250,"Liviana (0-250 kg)",IF(H101&lt;=1000,"Mediana (251-1000 kg)","Pesada (&gt;1000 kg)")))</f>
        <v/>
      </c>
    </row>
    <row r="102">
      <c r="I102" s="16">
        <f>IF(AND(G102&lt;&gt;"",H102&lt;&gt;""),G102*H102,"")</f>
        <v/>
      </c>
      <c r="J102" s="16">
        <f>IF(H102="","",IF(H102&lt;=250,"Liviana (0-250 kg)",IF(H102&lt;=1000,"Mediana (251-1000 kg)","Pesada (&gt;1000 kg)")))</f>
        <v/>
      </c>
    </row>
    <row r="103">
      <c r="I103" s="16">
        <f>IF(AND(G103&lt;&gt;"",H103&lt;&gt;""),G103*H103,"")</f>
        <v/>
      </c>
      <c r="J103" s="16">
        <f>IF(H103="","",IF(H103&lt;=250,"Liviana (0-250 kg)",IF(H103&lt;=1000,"Mediana (251-1000 kg)","Pesada (&gt;1000 kg)")))</f>
        <v/>
      </c>
    </row>
    <row r="104">
      <c r="I104" s="16">
        <f>IF(AND(G104&lt;&gt;"",H104&lt;&gt;""),G104*H104,"")</f>
        <v/>
      </c>
      <c r="J104" s="16">
        <f>IF(H104="","",IF(H104&lt;=250,"Liviana (0-250 kg)",IF(H104&lt;=1000,"Mediana (251-1000 kg)","Pesada (&gt;1000 kg)")))</f>
        <v/>
      </c>
    </row>
    <row r="105">
      <c r="I105" s="16">
        <f>IF(AND(G105&lt;&gt;"",H105&lt;&gt;""),G105*H105,"")</f>
        <v/>
      </c>
      <c r="J105" s="16">
        <f>IF(H105="","",IF(H105&lt;=250,"Liviana (0-250 kg)",IF(H105&lt;=1000,"Mediana (251-1000 kg)","Pesada (&gt;1000 kg)")))</f>
        <v/>
      </c>
    </row>
    <row r="106">
      <c r="I106" s="16">
        <f>IF(AND(G106&lt;&gt;"",H106&lt;&gt;""),G106*H106,"")</f>
        <v/>
      </c>
      <c r="J106" s="16">
        <f>IF(H106="","",IF(H106&lt;=250,"Liviana (0-250 kg)",IF(H106&lt;=1000,"Mediana (251-1000 kg)","Pesada (&gt;1000 kg)")))</f>
        <v/>
      </c>
    </row>
    <row r="107">
      <c r="I107" s="16">
        <f>IF(AND(G107&lt;&gt;"",H107&lt;&gt;""),G107*H107,"")</f>
        <v/>
      </c>
      <c r="J107" s="16">
        <f>IF(H107="","",IF(H107&lt;=250,"Liviana (0-250 kg)",IF(H107&lt;=1000,"Mediana (251-1000 kg)","Pesada (&gt;1000 kg)")))</f>
        <v/>
      </c>
    </row>
    <row r="108">
      <c r="I108" s="16">
        <f>IF(AND(G108&lt;&gt;"",H108&lt;&gt;""),G108*H108,"")</f>
        <v/>
      </c>
      <c r="J108" s="16">
        <f>IF(H108="","",IF(H108&lt;=250,"Liviana (0-250 kg)",IF(H108&lt;=1000,"Mediana (251-1000 kg)","Pesada (&gt;1000 kg)")))</f>
        <v/>
      </c>
    </row>
    <row r="109">
      <c r="I109" s="16">
        <f>IF(AND(G109&lt;&gt;"",H109&lt;&gt;""),G109*H109,"")</f>
        <v/>
      </c>
      <c r="J109" s="16">
        <f>IF(H109="","",IF(H109&lt;=250,"Liviana (0-250 kg)",IF(H109&lt;=1000,"Mediana (251-1000 kg)","Pesada (&gt;1000 kg)")))</f>
        <v/>
      </c>
    </row>
    <row r="110">
      <c r="I110" s="16">
        <f>IF(AND(G110&lt;&gt;"",H110&lt;&gt;""),G110*H110,"")</f>
        <v/>
      </c>
      <c r="J110" s="16">
        <f>IF(H110="","",IF(H110&lt;=250,"Liviana (0-250 kg)",IF(H110&lt;=1000,"Mediana (251-1000 kg)","Pesada (&gt;1000 kg)")))</f>
        <v/>
      </c>
    </row>
    <row r="111">
      <c r="I111" s="16">
        <f>IF(AND(G111&lt;&gt;"",H111&lt;&gt;""),G111*H111,"")</f>
        <v/>
      </c>
      <c r="J111" s="16">
        <f>IF(H111="","",IF(H111&lt;=250,"Liviana (0-250 kg)",IF(H111&lt;=1000,"Mediana (251-1000 kg)","Pesada (&gt;1000 kg)")))</f>
        <v/>
      </c>
    </row>
    <row r="112">
      <c r="I112" s="16">
        <f>IF(AND(G112&lt;&gt;"",H112&lt;&gt;""),G112*H112,"")</f>
        <v/>
      </c>
      <c r="J112" s="16">
        <f>IF(H112="","",IF(H112&lt;=250,"Liviana (0-250 kg)",IF(H112&lt;=1000,"Mediana (251-1000 kg)","Pesada (&gt;1000 kg)")))</f>
        <v/>
      </c>
    </row>
    <row r="113">
      <c r="I113" s="16">
        <f>IF(AND(G113&lt;&gt;"",H113&lt;&gt;""),G113*H113,"")</f>
        <v/>
      </c>
      <c r="J113" s="16">
        <f>IF(H113="","",IF(H113&lt;=250,"Liviana (0-250 kg)",IF(H113&lt;=1000,"Mediana (251-1000 kg)","Pesada (&gt;1000 kg)")))</f>
        <v/>
      </c>
    </row>
    <row r="114">
      <c r="I114" s="16">
        <f>IF(AND(G114&lt;&gt;"",H114&lt;&gt;""),G114*H114,"")</f>
        <v/>
      </c>
      <c r="J114" s="16">
        <f>IF(H114="","",IF(H114&lt;=250,"Liviana (0-250 kg)",IF(H114&lt;=1000,"Mediana (251-1000 kg)","Pesada (&gt;1000 kg)")))</f>
        <v/>
      </c>
    </row>
    <row r="115">
      <c r="I115" s="16">
        <f>IF(AND(G115&lt;&gt;"",H115&lt;&gt;""),G115*H115,"")</f>
        <v/>
      </c>
      <c r="J115" s="16">
        <f>IF(H115="","",IF(H115&lt;=250,"Liviana (0-250 kg)",IF(H115&lt;=1000,"Mediana (251-1000 kg)","Pesada (&gt;1000 kg)")))</f>
        <v/>
      </c>
    </row>
    <row r="116">
      <c r="I116" s="16">
        <f>IF(AND(G116&lt;&gt;"",H116&lt;&gt;""),G116*H116,"")</f>
        <v/>
      </c>
      <c r="J116" s="16">
        <f>IF(H116="","",IF(H116&lt;=250,"Liviana (0-250 kg)",IF(H116&lt;=1000,"Mediana (251-1000 kg)","Pesada (&gt;1000 kg)")))</f>
        <v/>
      </c>
    </row>
    <row r="117">
      <c r="I117" s="16">
        <f>IF(AND(G117&lt;&gt;"",H117&lt;&gt;""),G117*H117,"")</f>
        <v/>
      </c>
      <c r="J117" s="16">
        <f>IF(H117="","",IF(H117&lt;=250,"Liviana (0-250 kg)",IF(H117&lt;=1000,"Mediana (251-1000 kg)","Pesada (&gt;1000 kg)")))</f>
        <v/>
      </c>
    </row>
    <row r="118">
      <c r="I118" s="16">
        <f>IF(AND(G118&lt;&gt;"",H118&lt;&gt;""),G118*H118,"")</f>
        <v/>
      </c>
      <c r="J118" s="16">
        <f>IF(H118="","",IF(H118&lt;=250,"Liviana (0-250 kg)",IF(H118&lt;=1000,"Mediana (251-1000 kg)","Pesada (&gt;1000 kg)")))</f>
        <v/>
      </c>
    </row>
    <row r="119">
      <c r="I119" s="16">
        <f>IF(AND(G119&lt;&gt;"",H119&lt;&gt;""),G119*H119,"")</f>
        <v/>
      </c>
      <c r="J119" s="16">
        <f>IF(H119="","",IF(H119&lt;=250,"Liviana (0-250 kg)",IF(H119&lt;=1000,"Mediana (251-1000 kg)","Pesada (&gt;1000 kg)")))</f>
        <v/>
      </c>
    </row>
    <row r="120">
      <c r="I120" s="16">
        <f>IF(AND(G120&lt;&gt;"",H120&lt;&gt;""),G120*H120,"")</f>
        <v/>
      </c>
      <c r="J120" s="16">
        <f>IF(H120="","",IF(H120&lt;=250,"Liviana (0-250 kg)",IF(H120&lt;=1000,"Mediana (251-1000 kg)","Pesada (&gt;1000 kg)")))</f>
        <v/>
      </c>
    </row>
    <row r="121">
      <c r="I121" s="16">
        <f>IF(AND(G121&lt;&gt;"",H121&lt;&gt;""),G121*H121,"")</f>
        <v/>
      </c>
      <c r="J121" s="16">
        <f>IF(H121="","",IF(H121&lt;=250,"Liviana (0-250 kg)",IF(H121&lt;=1000,"Mediana (251-1000 kg)","Pesada (&gt;1000 kg)")))</f>
        <v/>
      </c>
    </row>
    <row r="122">
      <c r="I122" s="16">
        <f>IF(AND(G122&lt;&gt;"",H122&lt;&gt;""),G122*H122,"")</f>
        <v/>
      </c>
      <c r="J122" s="16">
        <f>IF(H122="","",IF(H122&lt;=250,"Liviana (0-250 kg)",IF(H122&lt;=1000,"Mediana (251-1000 kg)","Pesada (&gt;1000 kg)")))</f>
        <v/>
      </c>
    </row>
    <row r="123">
      <c r="I123" s="16">
        <f>IF(AND(G123&lt;&gt;"",H123&lt;&gt;""),G123*H123,"")</f>
        <v/>
      </c>
      <c r="J123" s="16">
        <f>IF(H123="","",IF(H123&lt;=250,"Liviana (0-250 kg)",IF(H123&lt;=1000,"Mediana (251-1000 kg)","Pesada (&gt;1000 kg)")))</f>
        <v/>
      </c>
    </row>
    <row r="124">
      <c r="I124" s="16">
        <f>IF(AND(G124&lt;&gt;"",H124&lt;&gt;""),G124*H124,"")</f>
        <v/>
      </c>
      <c r="J124" s="16">
        <f>IF(H124="","",IF(H124&lt;=250,"Liviana (0-250 kg)",IF(H124&lt;=1000,"Mediana (251-1000 kg)","Pesada (&gt;1000 kg)")))</f>
        <v/>
      </c>
    </row>
    <row r="125">
      <c r="I125" s="16">
        <f>IF(AND(G125&lt;&gt;"",H125&lt;&gt;""),G125*H125,"")</f>
        <v/>
      </c>
      <c r="J125" s="16">
        <f>IF(H125="","",IF(H125&lt;=250,"Liviana (0-250 kg)",IF(H125&lt;=1000,"Mediana (251-1000 kg)","Pesada (&gt;1000 kg)")))</f>
        <v/>
      </c>
    </row>
    <row r="126">
      <c r="I126" s="16">
        <f>IF(AND(G126&lt;&gt;"",H126&lt;&gt;""),G126*H126,"")</f>
        <v/>
      </c>
      <c r="J126" s="16">
        <f>IF(H126="","",IF(H126&lt;=250,"Liviana (0-250 kg)",IF(H126&lt;=1000,"Mediana (251-1000 kg)","Pesada (&gt;1000 kg)")))</f>
        <v/>
      </c>
    </row>
    <row r="127">
      <c r="I127" s="16">
        <f>IF(AND(G127&lt;&gt;"",H127&lt;&gt;""),G127*H127,"")</f>
        <v/>
      </c>
      <c r="J127" s="16">
        <f>IF(H127="","",IF(H127&lt;=250,"Liviana (0-250 kg)",IF(H127&lt;=1000,"Mediana (251-1000 kg)","Pesada (&gt;1000 kg)")))</f>
        <v/>
      </c>
    </row>
    <row r="128">
      <c r="I128" s="16">
        <f>IF(AND(G128&lt;&gt;"",H128&lt;&gt;""),G128*H128,"")</f>
        <v/>
      </c>
      <c r="J128" s="16">
        <f>IF(H128="","",IF(H128&lt;=250,"Liviana (0-250 kg)",IF(H128&lt;=1000,"Mediana (251-1000 kg)","Pesada (&gt;1000 kg)")))</f>
        <v/>
      </c>
    </row>
    <row r="129">
      <c r="I129" s="16">
        <f>IF(AND(G129&lt;&gt;"",H129&lt;&gt;""),G129*H129,"")</f>
        <v/>
      </c>
      <c r="J129" s="16">
        <f>IF(H129="","",IF(H129&lt;=250,"Liviana (0-250 kg)",IF(H129&lt;=1000,"Mediana (251-1000 kg)","Pesada (&gt;1000 kg)")))</f>
        <v/>
      </c>
    </row>
    <row r="130">
      <c r="I130" s="16">
        <f>IF(AND(G130&lt;&gt;"",H130&lt;&gt;""),G130*H130,"")</f>
        <v/>
      </c>
      <c r="J130" s="16">
        <f>IF(H130="","",IF(H130&lt;=250,"Liviana (0-250 kg)",IF(H130&lt;=1000,"Mediana (251-1000 kg)","Pesada (&gt;1000 kg)")))</f>
        <v/>
      </c>
    </row>
    <row r="131">
      <c r="I131" s="16">
        <f>IF(AND(G131&lt;&gt;"",H131&lt;&gt;""),G131*H131,"")</f>
        <v/>
      </c>
      <c r="J131" s="16">
        <f>IF(H131="","",IF(H131&lt;=250,"Liviana (0-250 kg)",IF(H131&lt;=1000,"Mediana (251-1000 kg)","Pesada (&gt;1000 kg)")))</f>
        <v/>
      </c>
    </row>
    <row r="132">
      <c r="I132" s="16">
        <f>IF(AND(G132&lt;&gt;"",H132&lt;&gt;""),G132*H132,"")</f>
        <v/>
      </c>
      <c r="J132" s="16">
        <f>IF(H132="","",IF(H132&lt;=250,"Liviana (0-250 kg)",IF(H132&lt;=1000,"Mediana (251-1000 kg)","Pesada (&gt;1000 kg)")))</f>
        <v/>
      </c>
    </row>
    <row r="133">
      <c r="I133" s="16">
        <f>IF(AND(G133&lt;&gt;"",H133&lt;&gt;""),G133*H133,"")</f>
        <v/>
      </c>
      <c r="J133" s="16">
        <f>IF(H133="","",IF(H133&lt;=250,"Liviana (0-250 kg)",IF(H133&lt;=1000,"Mediana (251-1000 kg)","Pesada (&gt;1000 kg)")))</f>
        <v/>
      </c>
    </row>
    <row r="134">
      <c r="I134" s="16">
        <f>IF(AND(G134&lt;&gt;"",H134&lt;&gt;""),G134*H134,"")</f>
        <v/>
      </c>
      <c r="J134" s="16">
        <f>IF(H134="","",IF(H134&lt;=250,"Liviana (0-250 kg)",IF(H134&lt;=1000,"Mediana (251-1000 kg)","Pesada (&gt;1000 kg)")))</f>
        <v/>
      </c>
    </row>
    <row r="135">
      <c r="I135" s="16">
        <f>IF(AND(G135&lt;&gt;"",H135&lt;&gt;""),G135*H135,"")</f>
        <v/>
      </c>
      <c r="J135" s="16">
        <f>IF(H135="","",IF(H135&lt;=250,"Liviana (0-250 kg)",IF(H135&lt;=1000,"Mediana (251-1000 kg)","Pesada (&gt;1000 kg)")))</f>
        <v/>
      </c>
    </row>
    <row r="136">
      <c r="I136" s="16">
        <f>IF(AND(G136&lt;&gt;"",H136&lt;&gt;""),G136*H136,"")</f>
        <v/>
      </c>
      <c r="J136" s="16">
        <f>IF(H136="","",IF(H136&lt;=250,"Liviana (0-250 kg)",IF(H136&lt;=1000,"Mediana (251-1000 kg)","Pesada (&gt;1000 kg)")))</f>
        <v/>
      </c>
    </row>
    <row r="137">
      <c r="I137" s="16">
        <f>IF(AND(G137&lt;&gt;"",H137&lt;&gt;""),G137*H137,"")</f>
        <v/>
      </c>
      <c r="J137" s="16">
        <f>IF(H137="","",IF(H137&lt;=250,"Liviana (0-250 kg)",IF(H137&lt;=1000,"Mediana (251-1000 kg)","Pesada (&gt;1000 kg)")))</f>
        <v/>
      </c>
    </row>
    <row r="138">
      <c r="I138" s="16">
        <f>IF(AND(G138&lt;&gt;"",H138&lt;&gt;""),G138*H138,"")</f>
        <v/>
      </c>
      <c r="J138" s="16">
        <f>IF(H138="","",IF(H138&lt;=250,"Liviana (0-250 kg)",IF(H138&lt;=1000,"Mediana (251-1000 kg)","Pesada (&gt;1000 kg)")))</f>
        <v/>
      </c>
    </row>
    <row r="139">
      <c r="I139" s="16">
        <f>IF(AND(G139&lt;&gt;"",H139&lt;&gt;""),G139*H139,"")</f>
        <v/>
      </c>
      <c r="J139" s="16">
        <f>IF(H139="","",IF(H139&lt;=250,"Liviana (0-250 kg)",IF(H139&lt;=1000,"Mediana (251-1000 kg)","Pesada (&gt;1000 kg)")))</f>
        <v/>
      </c>
    </row>
    <row r="140">
      <c r="I140" s="16">
        <f>IF(AND(G140&lt;&gt;"",H140&lt;&gt;""),G140*H140,"")</f>
        <v/>
      </c>
      <c r="J140" s="16">
        <f>IF(H140="","",IF(H140&lt;=250,"Liviana (0-250 kg)",IF(H140&lt;=1000,"Mediana (251-1000 kg)","Pesada (&gt;1000 kg)")))</f>
        <v/>
      </c>
    </row>
    <row r="141">
      <c r="I141" s="16">
        <f>IF(AND(G141&lt;&gt;"",H141&lt;&gt;""),G141*H141,"")</f>
        <v/>
      </c>
      <c r="J141" s="16">
        <f>IF(H141="","",IF(H141&lt;=250,"Liviana (0-250 kg)",IF(H141&lt;=1000,"Mediana (251-1000 kg)","Pesada (&gt;1000 kg)")))</f>
        <v/>
      </c>
    </row>
    <row r="142">
      <c r="I142" s="16">
        <f>IF(AND(G142&lt;&gt;"",H142&lt;&gt;""),G142*H142,"")</f>
        <v/>
      </c>
      <c r="J142" s="16">
        <f>IF(H142="","",IF(H142&lt;=250,"Liviana (0-250 kg)",IF(H142&lt;=1000,"Mediana (251-1000 kg)","Pesada (&gt;1000 kg)")))</f>
        <v/>
      </c>
    </row>
    <row r="143">
      <c r="I143" s="16">
        <f>IF(AND(G143&lt;&gt;"",H143&lt;&gt;""),G143*H143,"")</f>
        <v/>
      </c>
      <c r="J143" s="16">
        <f>IF(H143="","",IF(H143&lt;=250,"Liviana (0-250 kg)",IF(H143&lt;=1000,"Mediana (251-1000 kg)","Pesada (&gt;1000 kg)")))</f>
        <v/>
      </c>
    </row>
    <row r="144">
      <c r="I144" s="16">
        <f>IF(AND(G144&lt;&gt;"",H144&lt;&gt;""),G144*H144,"")</f>
        <v/>
      </c>
      <c r="J144" s="16">
        <f>IF(H144="","",IF(H144&lt;=250,"Liviana (0-250 kg)",IF(H144&lt;=1000,"Mediana (251-1000 kg)","Pesada (&gt;1000 kg)")))</f>
        <v/>
      </c>
    </row>
    <row r="145">
      <c r="I145" s="16">
        <f>IF(AND(G145&lt;&gt;"",H145&lt;&gt;""),G145*H145,"")</f>
        <v/>
      </c>
      <c r="J145" s="16">
        <f>IF(H145="","",IF(H145&lt;=250,"Liviana (0-250 kg)",IF(H145&lt;=1000,"Mediana (251-1000 kg)","Pesada (&gt;1000 kg)")))</f>
        <v/>
      </c>
    </row>
    <row r="146">
      <c r="I146" s="16">
        <f>IF(AND(G146&lt;&gt;"",H146&lt;&gt;""),G146*H146,"")</f>
        <v/>
      </c>
      <c r="J146" s="16">
        <f>IF(H146="","",IF(H146&lt;=250,"Liviana (0-250 kg)",IF(H146&lt;=1000,"Mediana (251-1000 kg)","Pesada (&gt;1000 kg)")))</f>
        <v/>
      </c>
    </row>
    <row r="147">
      <c r="I147" s="16">
        <f>IF(AND(G147&lt;&gt;"",H147&lt;&gt;""),G147*H147,"")</f>
        <v/>
      </c>
      <c r="J147" s="16">
        <f>IF(H147="","",IF(H147&lt;=250,"Liviana (0-250 kg)",IF(H147&lt;=1000,"Mediana (251-1000 kg)","Pesada (&gt;1000 kg)")))</f>
        <v/>
      </c>
    </row>
    <row r="148">
      <c r="I148" s="16">
        <f>IF(AND(G148&lt;&gt;"",H148&lt;&gt;""),G148*H148,"")</f>
        <v/>
      </c>
      <c r="J148" s="16">
        <f>IF(H148="","",IF(H148&lt;=250,"Liviana (0-250 kg)",IF(H148&lt;=1000,"Mediana (251-1000 kg)","Pesada (&gt;1000 kg)")))</f>
        <v/>
      </c>
    </row>
    <row r="149">
      <c r="I149" s="16">
        <f>IF(AND(G149&lt;&gt;"",H149&lt;&gt;""),G149*H149,"")</f>
        <v/>
      </c>
      <c r="J149" s="16">
        <f>IF(H149="","",IF(H149&lt;=250,"Liviana (0-250 kg)",IF(H149&lt;=1000,"Mediana (251-1000 kg)","Pesada (&gt;1000 kg)")))</f>
        <v/>
      </c>
    </row>
    <row r="150">
      <c r="I150" s="16">
        <f>IF(AND(G150&lt;&gt;"",H150&lt;&gt;""),G150*H150,"")</f>
        <v/>
      </c>
      <c r="J150" s="16">
        <f>IF(H150="","",IF(H150&lt;=250,"Liviana (0-250 kg)",IF(H150&lt;=1000,"Mediana (251-1000 kg)","Pesada (&gt;1000 kg)")))</f>
        <v/>
      </c>
    </row>
    <row r="151">
      <c r="I151" s="16">
        <f>IF(AND(G151&lt;&gt;"",H151&lt;&gt;""),G151*H151,"")</f>
        <v/>
      </c>
      <c r="J151" s="16">
        <f>IF(H151="","",IF(H151&lt;=250,"Liviana (0-250 kg)",IF(H151&lt;=1000,"Mediana (251-1000 kg)","Pesada (&gt;1000 kg)")))</f>
        <v/>
      </c>
    </row>
    <row r="152">
      <c r="I152" s="16">
        <f>IF(AND(G152&lt;&gt;"",H152&lt;&gt;""),G152*H152,"")</f>
        <v/>
      </c>
      <c r="J152" s="16">
        <f>IF(H152="","",IF(H152&lt;=250,"Liviana (0-250 kg)",IF(H152&lt;=1000,"Mediana (251-1000 kg)","Pesada (&gt;1000 kg)")))</f>
        <v/>
      </c>
    </row>
    <row r="153">
      <c r="I153" s="16">
        <f>IF(AND(G153&lt;&gt;"",H153&lt;&gt;""),G153*H153,"")</f>
        <v/>
      </c>
      <c r="J153" s="16">
        <f>IF(H153="","",IF(H153&lt;=250,"Liviana (0-250 kg)",IF(H153&lt;=1000,"Mediana (251-1000 kg)","Pesada (&gt;1000 kg)")))</f>
        <v/>
      </c>
    </row>
    <row r="154">
      <c r="I154" s="16">
        <f>IF(AND(G154&lt;&gt;"",H154&lt;&gt;""),G154*H154,"")</f>
        <v/>
      </c>
      <c r="J154" s="16">
        <f>IF(H154="","",IF(H154&lt;=250,"Liviana (0-250 kg)",IF(H154&lt;=1000,"Mediana (251-1000 kg)","Pesada (&gt;1000 kg)")))</f>
        <v/>
      </c>
    </row>
    <row r="155">
      <c r="I155" s="16">
        <f>IF(AND(G155&lt;&gt;"",H155&lt;&gt;""),G155*H155,"")</f>
        <v/>
      </c>
      <c r="J155" s="16">
        <f>IF(H155="","",IF(H155&lt;=250,"Liviana (0-250 kg)",IF(H155&lt;=1000,"Mediana (251-1000 kg)","Pesada (&gt;1000 kg)")))</f>
        <v/>
      </c>
    </row>
    <row r="156">
      <c r="I156" s="16">
        <f>IF(AND(G156&lt;&gt;"",H156&lt;&gt;""),G156*H156,"")</f>
        <v/>
      </c>
      <c r="J156" s="16">
        <f>IF(H156="","",IF(H156&lt;=250,"Liviana (0-250 kg)",IF(H156&lt;=1000,"Mediana (251-1000 kg)","Pesada (&gt;1000 kg)")))</f>
        <v/>
      </c>
    </row>
    <row r="157">
      <c r="I157" s="16">
        <f>IF(AND(G157&lt;&gt;"",H157&lt;&gt;""),G157*H157,"")</f>
        <v/>
      </c>
      <c r="J157" s="16">
        <f>IF(H157="","",IF(H157&lt;=250,"Liviana (0-250 kg)",IF(H157&lt;=1000,"Mediana (251-1000 kg)","Pesada (&gt;1000 kg)")))</f>
        <v/>
      </c>
    </row>
    <row r="158">
      <c r="I158" s="16">
        <f>IF(AND(G158&lt;&gt;"",H158&lt;&gt;""),G158*H158,"")</f>
        <v/>
      </c>
      <c r="J158" s="16">
        <f>IF(H158="","",IF(H158&lt;=250,"Liviana (0-250 kg)",IF(H158&lt;=1000,"Mediana (251-1000 kg)","Pesada (&gt;1000 kg)")))</f>
        <v/>
      </c>
    </row>
    <row r="159">
      <c r="I159" s="16">
        <f>IF(AND(G159&lt;&gt;"",H159&lt;&gt;""),G159*H159,"")</f>
        <v/>
      </c>
      <c r="J159" s="16">
        <f>IF(H159="","",IF(H159&lt;=250,"Liviana (0-250 kg)",IF(H159&lt;=1000,"Mediana (251-1000 kg)","Pesada (&gt;1000 kg)")))</f>
        <v/>
      </c>
    </row>
    <row r="160">
      <c r="I160" s="16">
        <f>IF(AND(G160&lt;&gt;"",H160&lt;&gt;""),G160*H160,"")</f>
        <v/>
      </c>
      <c r="J160" s="16">
        <f>IF(H160="","",IF(H160&lt;=250,"Liviana (0-250 kg)",IF(H160&lt;=1000,"Mediana (251-1000 kg)","Pesada (&gt;1000 kg)")))</f>
        <v/>
      </c>
    </row>
    <row r="161">
      <c r="I161" s="16">
        <f>IF(AND(G161&lt;&gt;"",H161&lt;&gt;""),G161*H161,"")</f>
        <v/>
      </c>
      <c r="J161" s="16">
        <f>IF(H161="","",IF(H161&lt;=250,"Liviana (0-250 kg)",IF(H161&lt;=1000,"Mediana (251-1000 kg)","Pesada (&gt;1000 kg)")))</f>
        <v/>
      </c>
    </row>
    <row r="162">
      <c r="I162" s="16">
        <f>IF(AND(G162&lt;&gt;"",H162&lt;&gt;""),G162*H162,"")</f>
        <v/>
      </c>
      <c r="J162" s="16">
        <f>IF(H162="","",IF(H162&lt;=250,"Liviana (0-250 kg)",IF(H162&lt;=1000,"Mediana (251-1000 kg)","Pesada (&gt;1000 kg)")))</f>
        <v/>
      </c>
    </row>
    <row r="163">
      <c r="I163" s="16">
        <f>IF(AND(G163&lt;&gt;"",H163&lt;&gt;""),G163*H163,"")</f>
        <v/>
      </c>
      <c r="J163" s="16">
        <f>IF(H163="","",IF(H163&lt;=250,"Liviana (0-250 kg)",IF(H163&lt;=1000,"Mediana (251-1000 kg)","Pesada (&gt;1000 kg)")))</f>
        <v/>
      </c>
    </row>
    <row r="164">
      <c r="I164" s="16">
        <f>IF(AND(G164&lt;&gt;"",H164&lt;&gt;""),G164*H164,"")</f>
        <v/>
      </c>
      <c r="J164" s="16">
        <f>IF(H164="","",IF(H164&lt;=250,"Liviana (0-250 kg)",IF(H164&lt;=1000,"Mediana (251-1000 kg)","Pesada (&gt;1000 kg)")))</f>
        <v/>
      </c>
    </row>
    <row r="165">
      <c r="I165" s="16">
        <f>IF(AND(G165&lt;&gt;"",H165&lt;&gt;""),G165*H165,"")</f>
        <v/>
      </c>
      <c r="J165" s="16">
        <f>IF(H165="","",IF(H165&lt;=250,"Liviana (0-250 kg)",IF(H165&lt;=1000,"Mediana (251-1000 kg)","Pesada (&gt;1000 kg)")))</f>
        <v/>
      </c>
    </row>
    <row r="166">
      <c r="I166" s="16">
        <f>IF(AND(G166&lt;&gt;"",H166&lt;&gt;""),G166*H166,"")</f>
        <v/>
      </c>
      <c r="J166" s="16">
        <f>IF(H166="","",IF(H166&lt;=250,"Liviana (0-250 kg)",IF(H166&lt;=1000,"Mediana (251-1000 kg)","Pesada (&gt;1000 kg)")))</f>
        <v/>
      </c>
    </row>
    <row r="167">
      <c r="I167" s="16">
        <f>IF(AND(G167&lt;&gt;"",H167&lt;&gt;""),G167*H167,"")</f>
        <v/>
      </c>
      <c r="J167" s="16">
        <f>IF(H167="","",IF(H167&lt;=250,"Liviana (0-250 kg)",IF(H167&lt;=1000,"Mediana (251-1000 kg)","Pesada (&gt;1000 kg)")))</f>
        <v/>
      </c>
    </row>
    <row r="168">
      <c r="I168" s="16">
        <f>IF(AND(G168&lt;&gt;"",H168&lt;&gt;""),G168*H168,"")</f>
        <v/>
      </c>
      <c r="J168" s="16">
        <f>IF(H168="","",IF(H168&lt;=250,"Liviana (0-250 kg)",IF(H168&lt;=1000,"Mediana (251-1000 kg)","Pesada (&gt;1000 kg)")))</f>
        <v/>
      </c>
    </row>
    <row r="169">
      <c r="I169" s="16">
        <f>IF(AND(G169&lt;&gt;"",H169&lt;&gt;""),G169*H169,"")</f>
        <v/>
      </c>
      <c r="J169" s="16">
        <f>IF(H169="","",IF(H169&lt;=250,"Liviana (0-250 kg)",IF(H169&lt;=1000,"Mediana (251-1000 kg)","Pesada (&gt;1000 kg)")))</f>
        <v/>
      </c>
    </row>
    <row r="170">
      <c r="I170" s="16">
        <f>IF(AND(G170&lt;&gt;"",H170&lt;&gt;""),G170*H170,"")</f>
        <v/>
      </c>
      <c r="J170" s="16">
        <f>IF(H170="","",IF(H170&lt;=250,"Liviana (0-250 kg)",IF(H170&lt;=1000,"Mediana (251-1000 kg)","Pesada (&gt;1000 kg)")))</f>
        <v/>
      </c>
    </row>
    <row r="171">
      <c r="I171" s="16">
        <f>IF(AND(G171&lt;&gt;"",H171&lt;&gt;""),G171*H171,"")</f>
        <v/>
      </c>
      <c r="J171" s="16">
        <f>IF(H171="","",IF(H171&lt;=250,"Liviana (0-250 kg)",IF(H171&lt;=1000,"Mediana (251-1000 kg)","Pesada (&gt;1000 kg)")))</f>
        <v/>
      </c>
    </row>
    <row r="172">
      <c r="I172" s="16">
        <f>IF(AND(G172&lt;&gt;"",H172&lt;&gt;""),G172*H172,"")</f>
        <v/>
      </c>
      <c r="J172" s="16">
        <f>IF(H172="","",IF(H172&lt;=250,"Liviana (0-250 kg)",IF(H172&lt;=1000,"Mediana (251-1000 kg)","Pesada (&gt;1000 kg)")))</f>
        <v/>
      </c>
    </row>
    <row r="173">
      <c r="I173" s="16">
        <f>IF(AND(G173&lt;&gt;"",H173&lt;&gt;""),G173*H173,"")</f>
        <v/>
      </c>
      <c r="J173" s="16">
        <f>IF(H173="","",IF(H173&lt;=250,"Liviana (0-250 kg)",IF(H173&lt;=1000,"Mediana (251-1000 kg)","Pesada (&gt;1000 kg)")))</f>
        <v/>
      </c>
    </row>
    <row r="174">
      <c r="I174" s="16">
        <f>IF(AND(G174&lt;&gt;"",H174&lt;&gt;""),G174*H174,"")</f>
        <v/>
      </c>
      <c r="J174" s="16">
        <f>IF(H174="","",IF(H174&lt;=250,"Liviana (0-250 kg)",IF(H174&lt;=1000,"Mediana (251-1000 kg)","Pesada (&gt;1000 kg)")))</f>
        <v/>
      </c>
    </row>
    <row r="175">
      <c r="I175" s="16">
        <f>IF(AND(G175&lt;&gt;"",H175&lt;&gt;""),G175*H175,"")</f>
        <v/>
      </c>
      <c r="J175" s="16">
        <f>IF(H175="","",IF(H175&lt;=250,"Liviana (0-250 kg)",IF(H175&lt;=1000,"Mediana (251-1000 kg)","Pesada (&gt;1000 kg)")))</f>
        <v/>
      </c>
    </row>
    <row r="176">
      <c r="I176" s="16">
        <f>IF(AND(G176&lt;&gt;"",H176&lt;&gt;""),G176*H176,"")</f>
        <v/>
      </c>
      <c r="J176" s="16">
        <f>IF(H176="","",IF(H176&lt;=250,"Liviana (0-250 kg)",IF(H176&lt;=1000,"Mediana (251-1000 kg)","Pesada (&gt;1000 kg)")))</f>
        <v/>
      </c>
    </row>
    <row r="177">
      <c r="I177" s="16">
        <f>IF(AND(G177&lt;&gt;"",H177&lt;&gt;""),G177*H177,"")</f>
        <v/>
      </c>
      <c r="J177" s="16">
        <f>IF(H177="","",IF(H177&lt;=250,"Liviana (0-250 kg)",IF(H177&lt;=1000,"Mediana (251-1000 kg)","Pesada (&gt;1000 kg)")))</f>
        <v/>
      </c>
    </row>
    <row r="178">
      <c r="I178" s="16">
        <f>IF(AND(G178&lt;&gt;"",H178&lt;&gt;""),G178*H178,"")</f>
        <v/>
      </c>
      <c r="J178" s="16">
        <f>IF(H178="","",IF(H178&lt;=250,"Liviana (0-250 kg)",IF(H178&lt;=1000,"Mediana (251-1000 kg)","Pesada (&gt;1000 kg)")))</f>
        <v/>
      </c>
    </row>
    <row r="179">
      <c r="I179" s="16">
        <f>IF(AND(G179&lt;&gt;"",H179&lt;&gt;""),G179*H179,"")</f>
        <v/>
      </c>
      <c r="J179" s="16">
        <f>IF(H179="","",IF(H179&lt;=250,"Liviana (0-250 kg)",IF(H179&lt;=1000,"Mediana (251-1000 kg)","Pesada (&gt;1000 kg)")))</f>
        <v/>
      </c>
    </row>
    <row r="180">
      <c r="I180" s="16">
        <f>IF(AND(G180&lt;&gt;"",H180&lt;&gt;""),G180*H180,"")</f>
        <v/>
      </c>
      <c r="J180" s="16">
        <f>IF(H180="","",IF(H180&lt;=250,"Liviana (0-250 kg)",IF(H180&lt;=1000,"Mediana (251-1000 kg)","Pesada (&gt;1000 kg)")))</f>
        <v/>
      </c>
    </row>
    <row r="181">
      <c r="I181" s="16">
        <f>IF(AND(G181&lt;&gt;"",H181&lt;&gt;""),G181*H181,"")</f>
        <v/>
      </c>
      <c r="J181" s="16">
        <f>IF(H181="","",IF(H181&lt;=250,"Liviana (0-250 kg)",IF(H181&lt;=1000,"Mediana (251-1000 kg)","Pesada (&gt;1000 kg)")))</f>
        <v/>
      </c>
    </row>
    <row r="182">
      <c r="I182" s="16">
        <f>IF(AND(G182&lt;&gt;"",H182&lt;&gt;""),G182*H182,"")</f>
        <v/>
      </c>
      <c r="J182" s="16">
        <f>IF(H182="","",IF(H182&lt;=250,"Liviana (0-250 kg)",IF(H182&lt;=1000,"Mediana (251-1000 kg)","Pesada (&gt;1000 kg)")))</f>
        <v/>
      </c>
    </row>
    <row r="183">
      <c r="I183" s="16">
        <f>IF(AND(G183&lt;&gt;"",H183&lt;&gt;""),G183*H183,"")</f>
        <v/>
      </c>
      <c r="J183" s="16">
        <f>IF(H183="","",IF(H183&lt;=250,"Liviana (0-250 kg)",IF(H183&lt;=1000,"Mediana (251-1000 kg)","Pesada (&gt;1000 kg)")))</f>
        <v/>
      </c>
    </row>
    <row r="184">
      <c r="I184" s="16">
        <f>IF(AND(G184&lt;&gt;"",H184&lt;&gt;""),G184*H184,"")</f>
        <v/>
      </c>
      <c r="J184" s="16">
        <f>IF(H184="","",IF(H184&lt;=250,"Liviana (0-250 kg)",IF(H184&lt;=1000,"Mediana (251-1000 kg)","Pesada (&gt;1000 kg)")))</f>
        <v/>
      </c>
    </row>
    <row r="185">
      <c r="I185" s="16">
        <f>IF(AND(G185&lt;&gt;"",H185&lt;&gt;""),G185*H185,"")</f>
        <v/>
      </c>
      <c r="J185" s="16">
        <f>IF(H185="","",IF(H185&lt;=250,"Liviana (0-250 kg)",IF(H185&lt;=1000,"Mediana (251-1000 kg)","Pesada (&gt;1000 kg)")))</f>
        <v/>
      </c>
    </row>
    <row r="186">
      <c r="I186" s="16">
        <f>IF(AND(G186&lt;&gt;"",H186&lt;&gt;""),G186*H186,"")</f>
        <v/>
      </c>
      <c r="J186" s="16">
        <f>IF(H186="","",IF(H186&lt;=250,"Liviana (0-250 kg)",IF(H186&lt;=1000,"Mediana (251-1000 kg)","Pesada (&gt;1000 kg)")))</f>
        <v/>
      </c>
    </row>
    <row r="187">
      <c r="I187" s="16">
        <f>IF(AND(G187&lt;&gt;"",H187&lt;&gt;""),G187*H187,"")</f>
        <v/>
      </c>
      <c r="J187" s="16">
        <f>IF(H187="","",IF(H187&lt;=250,"Liviana (0-250 kg)",IF(H187&lt;=1000,"Mediana (251-1000 kg)","Pesada (&gt;1000 kg)")))</f>
        <v/>
      </c>
    </row>
    <row r="188">
      <c r="I188" s="16">
        <f>IF(AND(G188&lt;&gt;"",H188&lt;&gt;""),G188*H188,"")</f>
        <v/>
      </c>
      <c r="J188" s="16">
        <f>IF(H188="","",IF(H188&lt;=250,"Liviana (0-250 kg)",IF(H188&lt;=1000,"Mediana (251-1000 kg)","Pesada (&gt;1000 kg)")))</f>
        <v/>
      </c>
    </row>
    <row r="189">
      <c r="I189" s="16">
        <f>IF(AND(G189&lt;&gt;"",H189&lt;&gt;""),G189*H189,"")</f>
        <v/>
      </c>
      <c r="J189" s="16">
        <f>IF(H189="","",IF(H189&lt;=250,"Liviana (0-250 kg)",IF(H189&lt;=1000,"Mediana (251-1000 kg)","Pesada (&gt;1000 kg)")))</f>
        <v/>
      </c>
    </row>
    <row r="190">
      <c r="I190" s="16">
        <f>IF(AND(G190&lt;&gt;"",H190&lt;&gt;""),G190*H190,"")</f>
        <v/>
      </c>
      <c r="J190" s="16">
        <f>IF(H190="","",IF(H190&lt;=250,"Liviana (0-250 kg)",IF(H190&lt;=1000,"Mediana (251-1000 kg)","Pesada (&gt;1000 kg)")))</f>
        <v/>
      </c>
    </row>
    <row r="191">
      <c r="I191" s="16">
        <f>IF(AND(G191&lt;&gt;"",H191&lt;&gt;""),G191*H191,"")</f>
        <v/>
      </c>
      <c r="J191" s="16">
        <f>IF(H191="","",IF(H191&lt;=250,"Liviana (0-250 kg)",IF(H191&lt;=1000,"Mediana (251-1000 kg)","Pesada (&gt;1000 kg)")))</f>
        <v/>
      </c>
    </row>
    <row r="192">
      <c r="I192" s="16">
        <f>IF(AND(G192&lt;&gt;"",H192&lt;&gt;""),G192*H192,"")</f>
        <v/>
      </c>
      <c r="J192" s="16">
        <f>IF(H192="","",IF(H192&lt;=250,"Liviana (0-250 kg)",IF(H192&lt;=1000,"Mediana (251-1000 kg)","Pesada (&gt;1000 kg)")))</f>
        <v/>
      </c>
    </row>
    <row r="193">
      <c r="I193" s="16">
        <f>IF(AND(G193&lt;&gt;"",H193&lt;&gt;""),G193*H193,"")</f>
        <v/>
      </c>
      <c r="J193" s="16">
        <f>IF(H193="","",IF(H193&lt;=250,"Liviana (0-250 kg)",IF(H193&lt;=1000,"Mediana (251-1000 kg)","Pesada (&gt;1000 kg)")))</f>
        <v/>
      </c>
    </row>
    <row r="194">
      <c r="I194" s="16">
        <f>IF(AND(G194&lt;&gt;"",H194&lt;&gt;""),G194*H194,"")</f>
        <v/>
      </c>
      <c r="J194" s="16">
        <f>IF(H194="","",IF(H194&lt;=250,"Liviana (0-250 kg)",IF(H194&lt;=1000,"Mediana (251-1000 kg)","Pesada (&gt;1000 kg)")))</f>
        <v/>
      </c>
    </row>
    <row r="195">
      <c r="I195" s="16">
        <f>IF(AND(G195&lt;&gt;"",H195&lt;&gt;""),G195*H195,"")</f>
        <v/>
      </c>
      <c r="J195" s="16">
        <f>IF(H195="","",IF(H195&lt;=250,"Liviana (0-250 kg)",IF(H195&lt;=1000,"Mediana (251-1000 kg)","Pesada (&gt;1000 kg)")))</f>
        <v/>
      </c>
    </row>
    <row r="196">
      <c r="I196" s="16">
        <f>IF(AND(G196&lt;&gt;"",H196&lt;&gt;""),G196*H196,"")</f>
        <v/>
      </c>
      <c r="J196" s="16">
        <f>IF(H196="","",IF(H196&lt;=250,"Liviana (0-250 kg)",IF(H196&lt;=1000,"Mediana (251-1000 kg)","Pesada (&gt;1000 kg)")))</f>
        <v/>
      </c>
    </row>
    <row r="197">
      <c r="I197" s="16">
        <f>IF(AND(G197&lt;&gt;"",H197&lt;&gt;""),G197*H197,"")</f>
        <v/>
      </c>
      <c r="J197" s="16">
        <f>IF(H197="","",IF(H197&lt;=250,"Liviana (0-250 kg)",IF(H197&lt;=1000,"Mediana (251-1000 kg)","Pesada (&gt;1000 kg)")))</f>
        <v/>
      </c>
    </row>
    <row r="198">
      <c r="I198" s="16">
        <f>IF(AND(G198&lt;&gt;"",H198&lt;&gt;""),G198*H198,"")</f>
        <v/>
      </c>
      <c r="J198" s="16">
        <f>IF(H198="","",IF(H198&lt;=250,"Liviana (0-250 kg)",IF(H198&lt;=1000,"Mediana (251-1000 kg)","Pesada (&gt;1000 kg)")))</f>
        <v/>
      </c>
    </row>
    <row r="199">
      <c r="I199" s="16">
        <f>IF(AND(G199&lt;&gt;"",H199&lt;&gt;""),G199*H199,"")</f>
        <v/>
      </c>
      <c r="J199" s="16">
        <f>IF(H199="","",IF(H199&lt;=250,"Liviana (0-250 kg)",IF(H199&lt;=1000,"Mediana (251-1000 kg)","Pesada (&gt;1000 kg)")))</f>
        <v/>
      </c>
    </row>
    <row r="200">
      <c r="I200" s="16">
        <f>IF(AND(G200&lt;&gt;"",H200&lt;&gt;""),G200*H200,"")</f>
        <v/>
      </c>
      <c r="J200" s="16">
        <f>IF(H200="","",IF(H200&lt;=250,"Liviana (0-250 kg)",IF(H200&lt;=1000,"Mediana (251-1000 kg)","Pesada (&gt;1000 kg)")))</f>
        <v/>
      </c>
    </row>
    <row r="201">
      <c r="I201" s="16">
        <f>IF(AND(G201&lt;&gt;"",H201&lt;&gt;""),G201*H201,"")</f>
        <v/>
      </c>
      <c r="J201" s="16">
        <f>IF(H201="","",IF(H201&lt;=250,"Liviana (0-250 kg)",IF(H201&lt;=1000,"Mediana (251-1000 kg)","Pesada (&gt;1000 kg)")))</f>
        <v/>
      </c>
    </row>
    <row r="202">
      <c r="I202" s="16">
        <f>IF(AND(G202&lt;&gt;"",H202&lt;&gt;""),G202*H202,"")</f>
        <v/>
      </c>
      <c r="J202" s="16">
        <f>IF(H202="","",IF(H202&lt;=250,"Liviana (0-250 kg)",IF(H202&lt;=1000,"Mediana (251-1000 kg)","Pesada (&gt;1000 kg)")))</f>
        <v/>
      </c>
    </row>
    <row r="203">
      <c r="I203" s="16">
        <f>IF(AND(G203&lt;&gt;"",H203&lt;&gt;""),G203*H203,"")</f>
        <v/>
      </c>
      <c r="J203" s="16">
        <f>IF(H203="","",IF(H203&lt;=250,"Liviana (0-250 kg)",IF(H203&lt;=1000,"Mediana (251-1000 kg)","Pesada (&gt;1000 kg)")))</f>
        <v/>
      </c>
    </row>
    <row r="204">
      <c r="I204" s="16">
        <f>IF(AND(G204&lt;&gt;"",H204&lt;&gt;""),G204*H204,"")</f>
        <v/>
      </c>
      <c r="J204" s="16">
        <f>IF(H204="","",IF(H204&lt;=250,"Liviana (0-250 kg)",IF(H204&lt;=1000,"Mediana (251-1000 kg)","Pesada (&gt;1000 kg)")))</f>
        <v/>
      </c>
    </row>
    <row r="205">
      <c r="I205" s="16">
        <f>IF(AND(G205&lt;&gt;"",H205&lt;&gt;""),G205*H205,"")</f>
        <v/>
      </c>
      <c r="J205" s="16">
        <f>IF(H205="","",IF(H205&lt;=250,"Liviana (0-250 kg)",IF(H205&lt;=1000,"Mediana (251-1000 kg)","Pesada (&gt;1000 kg)")))</f>
        <v/>
      </c>
    </row>
    <row r="206">
      <c r="I206" s="16">
        <f>IF(AND(G206&lt;&gt;"",H206&lt;&gt;""),G206*H206,"")</f>
        <v/>
      </c>
      <c r="J206" s="16">
        <f>IF(H206="","",IF(H206&lt;=250,"Liviana (0-250 kg)",IF(H206&lt;=1000,"Mediana (251-1000 kg)","Pesada (&gt;1000 kg)")))</f>
        <v/>
      </c>
    </row>
    <row r="207">
      <c r="I207" s="16">
        <f>IF(AND(G207&lt;&gt;"",H207&lt;&gt;""),G207*H207,"")</f>
        <v/>
      </c>
      <c r="J207" s="16">
        <f>IF(H207="","",IF(H207&lt;=250,"Liviana (0-250 kg)",IF(H207&lt;=1000,"Mediana (251-1000 kg)","Pesada (&gt;1000 kg)")))</f>
        <v/>
      </c>
    </row>
    <row r="208">
      <c r="I208" s="16">
        <f>IF(AND(G208&lt;&gt;"",H208&lt;&gt;""),G208*H208,"")</f>
        <v/>
      </c>
      <c r="J208" s="16">
        <f>IF(H208="","",IF(H208&lt;=250,"Liviana (0-250 kg)",IF(H208&lt;=1000,"Mediana (251-1000 kg)","Pesada (&gt;1000 kg)")))</f>
        <v/>
      </c>
    </row>
    <row r="209">
      <c r="I209" s="16">
        <f>IF(AND(G209&lt;&gt;"",H209&lt;&gt;""),G209*H209,"")</f>
        <v/>
      </c>
      <c r="J209" s="16">
        <f>IF(H209="","",IF(H209&lt;=250,"Liviana (0-250 kg)",IF(H209&lt;=1000,"Mediana (251-1000 kg)","Pesada (&gt;1000 kg)")))</f>
        <v/>
      </c>
    </row>
    <row r="210">
      <c r="I210" s="16">
        <f>IF(AND(G210&lt;&gt;"",H210&lt;&gt;""),G210*H210,"")</f>
        <v/>
      </c>
      <c r="J210" s="16">
        <f>IF(H210="","",IF(H210&lt;=250,"Liviana (0-250 kg)",IF(H210&lt;=1000,"Mediana (251-1000 kg)","Pesada (&gt;1000 kg)")))</f>
        <v/>
      </c>
    </row>
    <row r="211">
      <c r="I211" s="16">
        <f>IF(AND(G211&lt;&gt;"",H211&lt;&gt;""),G211*H211,"")</f>
        <v/>
      </c>
      <c r="J211" s="16">
        <f>IF(H211="","",IF(H211&lt;=250,"Liviana (0-250 kg)",IF(H211&lt;=1000,"Mediana (251-1000 kg)","Pesada (&gt;1000 kg)")))</f>
        <v/>
      </c>
    </row>
    <row r="212">
      <c r="I212" s="16">
        <f>IF(AND(G212&lt;&gt;"",H212&lt;&gt;""),G212*H212,"")</f>
        <v/>
      </c>
      <c r="J212" s="16">
        <f>IF(H212="","",IF(H212&lt;=250,"Liviana (0-250 kg)",IF(H212&lt;=1000,"Mediana (251-1000 kg)","Pesada (&gt;1000 kg)")))</f>
        <v/>
      </c>
    </row>
    <row r="213">
      <c r="I213" s="16">
        <f>IF(AND(G213&lt;&gt;"",H213&lt;&gt;""),G213*H213,"")</f>
        <v/>
      </c>
      <c r="J213" s="16">
        <f>IF(H213="","",IF(H213&lt;=250,"Liviana (0-250 kg)",IF(H213&lt;=1000,"Mediana (251-1000 kg)","Pesada (&gt;1000 kg)")))</f>
        <v/>
      </c>
    </row>
    <row r="214">
      <c r="I214" s="16">
        <f>IF(AND(G214&lt;&gt;"",H214&lt;&gt;""),G214*H214,"")</f>
        <v/>
      </c>
      <c r="J214" s="16">
        <f>IF(H214="","",IF(H214&lt;=250,"Liviana (0-250 kg)",IF(H214&lt;=1000,"Mediana (251-1000 kg)","Pesada (&gt;1000 kg)")))</f>
        <v/>
      </c>
    </row>
    <row r="215">
      <c r="I215" s="16">
        <f>IF(AND(G215&lt;&gt;"",H215&lt;&gt;""),G215*H215,"")</f>
        <v/>
      </c>
      <c r="J215" s="16">
        <f>IF(H215="","",IF(H215&lt;=250,"Liviana (0-250 kg)",IF(H215&lt;=1000,"Mediana (251-1000 kg)","Pesada (&gt;1000 kg)")))</f>
        <v/>
      </c>
    </row>
    <row r="216">
      <c r="I216" s="16">
        <f>IF(AND(G216&lt;&gt;"",H216&lt;&gt;""),G216*H216,"")</f>
        <v/>
      </c>
      <c r="J216" s="16">
        <f>IF(H216="","",IF(H216&lt;=250,"Liviana (0-250 kg)",IF(H216&lt;=1000,"Mediana (251-1000 kg)","Pesada (&gt;1000 kg)")))</f>
        <v/>
      </c>
    </row>
    <row r="217">
      <c r="I217" s="16">
        <f>IF(AND(G217&lt;&gt;"",H217&lt;&gt;""),G217*H217,"")</f>
        <v/>
      </c>
      <c r="J217" s="16">
        <f>IF(H217="","",IF(H217&lt;=250,"Liviana (0-250 kg)",IF(H217&lt;=1000,"Mediana (251-1000 kg)","Pesada (&gt;1000 kg)")))</f>
        <v/>
      </c>
    </row>
    <row r="218">
      <c r="I218" s="16">
        <f>IF(AND(G218&lt;&gt;"",H218&lt;&gt;""),G218*H218,"")</f>
        <v/>
      </c>
      <c r="J218" s="16">
        <f>IF(H218="","",IF(H218&lt;=250,"Liviana (0-250 kg)",IF(H218&lt;=1000,"Mediana (251-1000 kg)","Pesada (&gt;1000 kg)")))</f>
        <v/>
      </c>
    </row>
    <row r="219">
      <c r="I219" s="16">
        <f>IF(AND(G219&lt;&gt;"",H219&lt;&gt;""),G219*H219,"")</f>
        <v/>
      </c>
      <c r="J219" s="16">
        <f>IF(H219="","",IF(H219&lt;=250,"Liviana (0-250 kg)",IF(H219&lt;=1000,"Mediana (251-1000 kg)","Pesada (&gt;1000 kg)")))</f>
        <v/>
      </c>
    </row>
    <row r="220">
      <c r="I220" s="16">
        <f>IF(AND(G220&lt;&gt;"",H220&lt;&gt;""),G220*H220,"")</f>
        <v/>
      </c>
      <c r="J220" s="16">
        <f>IF(H220="","",IF(H220&lt;=250,"Liviana (0-250 kg)",IF(H220&lt;=1000,"Mediana (251-1000 kg)","Pesada (&gt;1000 kg)")))</f>
        <v/>
      </c>
    </row>
    <row r="221">
      <c r="I221" s="16">
        <f>IF(AND(G221&lt;&gt;"",H221&lt;&gt;""),G221*H221,"")</f>
        <v/>
      </c>
      <c r="J221" s="16">
        <f>IF(H221="","",IF(H221&lt;=250,"Liviana (0-250 kg)",IF(H221&lt;=1000,"Mediana (251-1000 kg)","Pesada (&gt;1000 kg)")))</f>
        <v/>
      </c>
    </row>
    <row r="222">
      <c r="I222" s="16">
        <f>IF(AND(G222&lt;&gt;"",H222&lt;&gt;""),G222*H222,"")</f>
        <v/>
      </c>
      <c r="J222" s="16">
        <f>IF(H222="","",IF(H222&lt;=250,"Liviana (0-250 kg)",IF(H222&lt;=1000,"Mediana (251-1000 kg)","Pesada (&gt;1000 kg)")))</f>
        <v/>
      </c>
    </row>
    <row r="223">
      <c r="I223" s="16">
        <f>IF(AND(G223&lt;&gt;"",H223&lt;&gt;""),G223*H223,"")</f>
        <v/>
      </c>
      <c r="J223" s="16">
        <f>IF(H223="","",IF(H223&lt;=250,"Liviana (0-250 kg)",IF(H223&lt;=1000,"Mediana (251-1000 kg)","Pesada (&gt;1000 kg)")))</f>
        <v/>
      </c>
    </row>
    <row r="224">
      <c r="I224" s="16">
        <f>IF(AND(G224&lt;&gt;"",H224&lt;&gt;""),G224*H224,"")</f>
        <v/>
      </c>
      <c r="J224" s="16">
        <f>IF(H224="","",IF(H224&lt;=250,"Liviana (0-250 kg)",IF(H224&lt;=1000,"Mediana (251-1000 kg)","Pesada (&gt;1000 kg)")))</f>
        <v/>
      </c>
    </row>
    <row r="225">
      <c r="I225" s="16">
        <f>IF(AND(G225&lt;&gt;"",H225&lt;&gt;""),G225*H225,"")</f>
        <v/>
      </c>
      <c r="J225" s="16">
        <f>IF(H225="","",IF(H225&lt;=250,"Liviana (0-250 kg)",IF(H225&lt;=1000,"Mediana (251-1000 kg)","Pesada (&gt;1000 kg)")))</f>
        <v/>
      </c>
    </row>
    <row r="226">
      <c r="I226" s="16">
        <f>IF(AND(G226&lt;&gt;"",H226&lt;&gt;""),G226*H226,"")</f>
        <v/>
      </c>
      <c r="J226" s="16">
        <f>IF(H226="","",IF(H226&lt;=250,"Liviana (0-250 kg)",IF(H226&lt;=1000,"Mediana (251-1000 kg)","Pesada (&gt;1000 kg)")))</f>
        <v/>
      </c>
    </row>
    <row r="227">
      <c r="I227" s="16">
        <f>IF(AND(G227&lt;&gt;"",H227&lt;&gt;""),G227*H227,"")</f>
        <v/>
      </c>
      <c r="J227" s="16">
        <f>IF(H227="","",IF(H227&lt;=250,"Liviana (0-250 kg)",IF(H227&lt;=1000,"Mediana (251-1000 kg)","Pesada (&gt;1000 kg)")))</f>
        <v/>
      </c>
    </row>
    <row r="228">
      <c r="I228" s="16">
        <f>IF(AND(G228&lt;&gt;"",H228&lt;&gt;""),G228*H228,"")</f>
        <v/>
      </c>
      <c r="J228" s="16">
        <f>IF(H228="","",IF(H228&lt;=250,"Liviana (0-250 kg)",IF(H228&lt;=1000,"Mediana (251-1000 kg)","Pesada (&gt;1000 kg)")))</f>
        <v/>
      </c>
    </row>
    <row r="229">
      <c r="I229" s="16">
        <f>IF(AND(G229&lt;&gt;"",H229&lt;&gt;""),G229*H229,"")</f>
        <v/>
      </c>
      <c r="J229" s="16">
        <f>IF(H229="","",IF(H229&lt;=250,"Liviana (0-250 kg)",IF(H229&lt;=1000,"Mediana (251-1000 kg)","Pesada (&gt;1000 kg)")))</f>
        <v/>
      </c>
    </row>
    <row r="230">
      <c r="I230" s="16">
        <f>IF(AND(G230&lt;&gt;"",H230&lt;&gt;""),G230*H230,"")</f>
        <v/>
      </c>
      <c r="J230" s="16">
        <f>IF(H230="","",IF(H230&lt;=250,"Liviana (0-250 kg)",IF(H230&lt;=1000,"Mediana (251-1000 kg)","Pesada (&gt;1000 kg)")))</f>
        <v/>
      </c>
    </row>
    <row r="231">
      <c r="I231" s="16">
        <f>IF(AND(G231&lt;&gt;"",H231&lt;&gt;""),G231*H231,"")</f>
        <v/>
      </c>
      <c r="J231" s="16">
        <f>IF(H231="","",IF(H231&lt;=250,"Liviana (0-250 kg)",IF(H231&lt;=1000,"Mediana (251-1000 kg)","Pesada (&gt;1000 kg)")))</f>
        <v/>
      </c>
    </row>
    <row r="232">
      <c r="I232" s="16">
        <f>IF(AND(G232&lt;&gt;"",H232&lt;&gt;""),G232*H232,"")</f>
        <v/>
      </c>
      <c r="J232" s="16">
        <f>IF(H232="","",IF(H232&lt;=250,"Liviana (0-250 kg)",IF(H232&lt;=1000,"Mediana (251-1000 kg)","Pesada (&gt;1000 kg)")))</f>
        <v/>
      </c>
    </row>
    <row r="233">
      <c r="I233" s="16">
        <f>IF(AND(G233&lt;&gt;"",H233&lt;&gt;""),G233*H233,"")</f>
        <v/>
      </c>
      <c r="J233" s="16">
        <f>IF(H233="","",IF(H233&lt;=250,"Liviana (0-250 kg)",IF(H233&lt;=1000,"Mediana (251-1000 kg)","Pesada (&gt;1000 kg)")))</f>
        <v/>
      </c>
    </row>
    <row r="234">
      <c r="I234" s="16">
        <f>IF(AND(G234&lt;&gt;"",H234&lt;&gt;""),G234*H234,"")</f>
        <v/>
      </c>
      <c r="J234" s="16">
        <f>IF(H234="","",IF(H234&lt;=250,"Liviana (0-250 kg)",IF(H234&lt;=1000,"Mediana (251-1000 kg)","Pesada (&gt;1000 kg)")))</f>
        <v/>
      </c>
    </row>
    <row r="235">
      <c r="I235" s="16">
        <f>IF(AND(G235&lt;&gt;"",H235&lt;&gt;""),G235*H235,"")</f>
        <v/>
      </c>
      <c r="J235" s="16">
        <f>IF(H235="","",IF(H235&lt;=250,"Liviana (0-250 kg)",IF(H235&lt;=1000,"Mediana (251-1000 kg)","Pesada (&gt;1000 kg)")))</f>
        <v/>
      </c>
    </row>
    <row r="236">
      <c r="I236" s="16">
        <f>IF(AND(G236&lt;&gt;"",H236&lt;&gt;""),G236*H236,"")</f>
        <v/>
      </c>
      <c r="J236" s="16">
        <f>IF(H236="","",IF(H236&lt;=250,"Liviana (0-250 kg)",IF(H236&lt;=1000,"Mediana (251-1000 kg)","Pesada (&gt;1000 kg)")))</f>
        <v/>
      </c>
    </row>
    <row r="237">
      <c r="I237" s="16">
        <f>IF(AND(G237&lt;&gt;"",H237&lt;&gt;""),G237*H237,"")</f>
        <v/>
      </c>
      <c r="J237" s="16">
        <f>IF(H237="","",IF(H237&lt;=250,"Liviana (0-250 kg)",IF(H237&lt;=1000,"Mediana (251-1000 kg)","Pesada (&gt;1000 kg)")))</f>
        <v/>
      </c>
    </row>
    <row r="238">
      <c r="I238" s="16">
        <f>IF(AND(G238&lt;&gt;"",H238&lt;&gt;""),G238*H238,"")</f>
        <v/>
      </c>
      <c r="J238" s="16">
        <f>IF(H238="","",IF(H238&lt;=250,"Liviana (0-250 kg)",IF(H238&lt;=1000,"Mediana (251-1000 kg)","Pesada (&gt;1000 kg)")))</f>
        <v/>
      </c>
    </row>
    <row r="239">
      <c r="I239" s="16">
        <f>IF(AND(G239&lt;&gt;"",H239&lt;&gt;""),G239*H239,"")</f>
        <v/>
      </c>
      <c r="J239" s="16">
        <f>IF(H239="","",IF(H239&lt;=250,"Liviana (0-250 kg)",IF(H239&lt;=1000,"Mediana (251-1000 kg)","Pesada (&gt;1000 kg)")))</f>
        <v/>
      </c>
    </row>
    <row r="240">
      <c r="I240" s="16">
        <f>IF(AND(G240&lt;&gt;"",H240&lt;&gt;""),G240*H240,"")</f>
        <v/>
      </c>
      <c r="J240" s="16">
        <f>IF(H240="","",IF(H240&lt;=250,"Liviana (0-250 kg)",IF(H240&lt;=1000,"Mediana (251-1000 kg)","Pesada (&gt;1000 kg)")))</f>
        <v/>
      </c>
    </row>
    <row r="241">
      <c r="I241" s="16">
        <f>IF(AND(G241&lt;&gt;"",H241&lt;&gt;""),G241*H241,"")</f>
        <v/>
      </c>
      <c r="J241" s="16">
        <f>IF(H241="","",IF(H241&lt;=250,"Liviana (0-250 kg)",IF(H241&lt;=1000,"Mediana (251-1000 kg)","Pesada (&gt;1000 kg)")))</f>
        <v/>
      </c>
    </row>
    <row r="242">
      <c r="I242" s="16">
        <f>IF(AND(G242&lt;&gt;"",H242&lt;&gt;""),G242*H242,"")</f>
        <v/>
      </c>
      <c r="J242" s="16">
        <f>IF(H242="","",IF(H242&lt;=250,"Liviana (0-250 kg)",IF(H242&lt;=1000,"Mediana (251-1000 kg)","Pesada (&gt;1000 kg)")))</f>
        <v/>
      </c>
    </row>
    <row r="243">
      <c r="I243" s="16">
        <f>IF(AND(G243&lt;&gt;"",H243&lt;&gt;""),G243*H243,"")</f>
        <v/>
      </c>
      <c r="J243" s="16">
        <f>IF(H243="","",IF(H243&lt;=250,"Liviana (0-250 kg)",IF(H243&lt;=1000,"Mediana (251-1000 kg)","Pesada (&gt;1000 kg)")))</f>
        <v/>
      </c>
    </row>
    <row r="244">
      <c r="I244" s="16">
        <f>IF(AND(G244&lt;&gt;"",H244&lt;&gt;""),G244*H244,"")</f>
        <v/>
      </c>
      <c r="J244" s="16">
        <f>IF(H244="","",IF(H244&lt;=250,"Liviana (0-250 kg)",IF(H244&lt;=1000,"Mediana (251-1000 kg)","Pesada (&gt;1000 kg)")))</f>
        <v/>
      </c>
    </row>
    <row r="245">
      <c r="I245" s="16">
        <f>IF(AND(G245&lt;&gt;"",H245&lt;&gt;""),G245*H245,"")</f>
        <v/>
      </c>
      <c r="J245" s="16">
        <f>IF(H245="","",IF(H245&lt;=250,"Liviana (0-250 kg)",IF(H245&lt;=1000,"Mediana (251-1000 kg)","Pesada (&gt;1000 kg)")))</f>
        <v/>
      </c>
    </row>
    <row r="246">
      <c r="I246" s="16">
        <f>IF(AND(G246&lt;&gt;"",H246&lt;&gt;""),G246*H246,"")</f>
        <v/>
      </c>
      <c r="J246" s="16">
        <f>IF(H246="","",IF(H246&lt;=250,"Liviana (0-250 kg)",IF(H246&lt;=1000,"Mediana (251-1000 kg)","Pesada (&gt;1000 kg)")))</f>
        <v/>
      </c>
    </row>
    <row r="247">
      <c r="I247" s="16">
        <f>IF(AND(G247&lt;&gt;"",H247&lt;&gt;""),G247*H247,"")</f>
        <v/>
      </c>
      <c r="J247" s="16">
        <f>IF(H247="","",IF(H247&lt;=250,"Liviana (0-250 kg)",IF(H247&lt;=1000,"Mediana (251-1000 kg)","Pesada (&gt;1000 kg)")))</f>
        <v/>
      </c>
    </row>
    <row r="248">
      <c r="I248" s="16">
        <f>IF(AND(G248&lt;&gt;"",H248&lt;&gt;""),G248*H248,"")</f>
        <v/>
      </c>
      <c r="J248" s="16">
        <f>IF(H248="","",IF(H248&lt;=250,"Liviana (0-250 kg)",IF(H248&lt;=1000,"Mediana (251-1000 kg)","Pesada (&gt;1000 kg)")))</f>
        <v/>
      </c>
    </row>
    <row r="249">
      <c r="I249" s="16">
        <f>IF(AND(G249&lt;&gt;"",H249&lt;&gt;""),G249*H249,"")</f>
        <v/>
      </c>
      <c r="J249" s="16">
        <f>IF(H249="","",IF(H249&lt;=250,"Liviana (0-250 kg)",IF(H249&lt;=1000,"Mediana (251-1000 kg)","Pesada (&gt;1000 kg)")))</f>
        <v/>
      </c>
    </row>
    <row r="250">
      <c r="I250" s="16">
        <f>IF(AND(G250&lt;&gt;"",H250&lt;&gt;""),G250*H250,"")</f>
        <v/>
      </c>
      <c r="J250" s="16">
        <f>IF(H250="","",IF(H250&lt;=250,"Liviana (0-250 kg)",IF(H250&lt;=1000,"Mediana (251-1000 kg)","Pesada (&gt;1000 kg)")))</f>
        <v/>
      </c>
    </row>
    <row r="251">
      <c r="I251" s="16">
        <f>IF(AND(G251&lt;&gt;"",H251&lt;&gt;""),G251*H251,"")</f>
        <v/>
      </c>
      <c r="J251" s="16">
        <f>IF(H251="","",IF(H251&lt;=250,"Liviana (0-250 kg)",IF(H251&lt;=1000,"Mediana (251-1000 kg)","Pesada (&gt;1000 kg)")))</f>
        <v/>
      </c>
    </row>
    <row r="252">
      <c r="I252" s="16">
        <f>IF(AND(G252&lt;&gt;"",H252&lt;&gt;""),G252*H252,"")</f>
        <v/>
      </c>
      <c r="J252" s="16">
        <f>IF(H252="","",IF(H252&lt;=250,"Liviana (0-250 kg)",IF(H252&lt;=1000,"Mediana (251-1000 kg)","Pesada (&gt;1000 kg)")))</f>
        <v/>
      </c>
    </row>
    <row r="253">
      <c r="I253" s="16">
        <f>IF(AND(G253&lt;&gt;"",H253&lt;&gt;""),G253*H253,"")</f>
        <v/>
      </c>
      <c r="J253" s="16">
        <f>IF(H253="","",IF(H253&lt;=250,"Liviana (0-250 kg)",IF(H253&lt;=1000,"Mediana (251-1000 kg)","Pesada (&gt;1000 kg)")))</f>
        <v/>
      </c>
    </row>
    <row r="254">
      <c r="I254" s="16">
        <f>IF(AND(G254&lt;&gt;"",H254&lt;&gt;""),G254*H254,"")</f>
        <v/>
      </c>
      <c r="J254" s="16">
        <f>IF(H254="","",IF(H254&lt;=250,"Liviana (0-250 kg)",IF(H254&lt;=1000,"Mediana (251-1000 kg)","Pesada (&gt;1000 kg)")))</f>
        <v/>
      </c>
    </row>
    <row r="255">
      <c r="I255" s="16">
        <f>IF(AND(G255&lt;&gt;"",H255&lt;&gt;""),G255*H255,"")</f>
        <v/>
      </c>
      <c r="J255" s="16">
        <f>IF(H255="","",IF(H255&lt;=250,"Liviana (0-250 kg)",IF(H255&lt;=1000,"Mediana (251-1000 kg)","Pesada (&gt;1000 kg)")))</f>
        <v/>
      </c>
    </row>
    <row r="256">
      <c r="I256" s="16">
        <f>IF(AND(G256&lt;&gt;"",H256&lt;&gt;""),G256*H256,"")</f>
        <v/>
      </c>
      <c r="J256" s="16">
        <f>IF(H256="","",IF(H256&lt;=250,"Liviana (0-250 kg)",IF(H256&lt;=1000,"Mediana (251-1000 kg)","Pesada (&gt;1000 kg)")))</f>
        <v/>
      </c>
    </row>
    <row r="257">
      <c r="I257" s="16">
        <f>IF(AND(G257&lt;&gt;"",H257&lt;&gt;""),G257*H257,"")</f>
        <v/>
      </c>
      <c r="J257" s="16">
        <f>IF(H257="","",IF(H257&lt;=250,"Liviana (0-250 kg)",IF(H257&lt;=1000,"Mediana (251-1000 kg)","Pesada (&gt;1000 kg)")))</f>
        <v/>
      </c>
    </row>
    <row r="258">
      <c r="I258" s="16">
        <f>IF(AND(G258&lt;&gt;"",H258&lt;&gt;""),G258*H258,"")</f>
        <v/>
      </c>
      <c r="J258" s="16">
        <f>IF(H258="","",IF(H258&lt;=250,"Liviana (0-250 kg)",IF(H258&lt;=1000,"Mediana (251-1000 kg)","Pesada (&gt;1000 kg)")))</f>
        <v/>
      </c>
    </row>
    <row r="259">
      <c r="I259" s="16">
        <f>IF(AND(G259&lt;&gt;"",H259&lt;&gt;""),G259*H259,"")</f>
        <v/>
      </c>
      <c r="J259" s="16">
        <f>IF(H259="","",IF(H259&lt;=250,"Liviana (0-250 kg)",IF(H259&lt;=1000,"Mediana (251-1000 kg)","Pesada (&gt;1000 kg)")))</f>
        <v/>
      </c>
    </row>
    <row r="260">
      <c r="I260" s="16">
        <f>IF(AND(G260&lt;&gt;"",H260&lt;&gt;""),G260*H260,"")</f>
        <v/>
      </c>
      <c r="J260" s="16">
        <f>IF(H260="","",IF(H260&lt;=250,"Liviana (0-250 kg)",IF(H260&lt;=1000,"Mediana (251-1000 kg)","Pesada (&gt;1000 kg)")))</f>
        <v/>
      </c>
    </row>
    <row r="261">
      <c r="I261" s="16">
        <f>IF(AND(G261&lt;&gt;"",H261&lt;&gt;""),G261*H261,"")</f>
        <v/>
      </c>
      <c r="J261" s="16">
        <f>IF(H261="","",IF(H261&lt;=250,"Liviana (0-250 kg)",IF(H261&lt;=1000,"Mediana (251-1000 kg)","Pesada (&gt;1000 kg)")))</f>
        <v/>
      </c>
    </row>
    <row r="262">
      <c r="I262" s="16">
        <f>IF(AND(G262&lt;&gt;"",H262&lt;&gt;""),G262*H262,"")</f>
        <v/>
      </c>
      <c r="J262" s="16">
        <f>IF(H262="","",IF(H262&lt;=250,"Liviana (0-250 kg)",IF(H262&lt;=1000,"Mediana (251-1000 kg)","Pesada (&gt;1000 kg)")))</f>
        <v/>
      </c>
    </row>
    <row r="263">
      <c r="I263" s="16">
        <f>IF(AND(G263&lt;&gt;"",H263&lt;&gt;""),G263*H263,"")</f>
        <v/>
      </c>
      <c r="J263" s="16">
        <f>IF(H263="","",IF(H263&lt;=250,"Liviana (0-250 kg)",IF(H263&lt;=1000,"Mediana (251-1000 kg)","Pesada (&gt;1000 kg)")))</f>
        <v/>
      </c>
    </row>
    <row r="264">
      <c r="I264" s="16">
        <f>IF(AND(G264&lt;&gt;"",H264&lt;&gt;""),G264*H264,"")</f>
        <v/>
      </c>
      <c r="J264" s="16">
        <f>IF(H264="","",IF(H264&lt;=250,"Liviana (0-250 kg)",IF(H264&lt;=1000,"Mediana (251-1000 kg)","Pesada (&gt;1000 kg)")))</f>
        <v/>
      </c>
    </row>
    <row r="265">
      <c r="I265" s="16">
        <f>IF(AND(G265&lt;&gt;"",H265&lt;&gt;""),G265*H265,"")</f>
        <v/>
      </c>
      <c r="J265" s="16">
        <f>IF(H265="","",IF(H265&lt;=250,"Liviana (0-250 kg)",IF(H265&lt;=1000,"Mediana (251-1000 kg)","Pesada (&gt;1000 kg)")))</f>
        <v/>
      </c>
    </row>
    <row r="266">
      <c r="I266" s="16">
        <f>IF(AND(G266&lt;&gt;"",H266&lt;&gt;""),G266*H266,"")</f>
        <v/>
      </c>
      <c r="J266" s="16">
        <f>IF(H266="","",IF(H266&lt;=250,"Liviana (0-250 kg)",IF(H266&lt;=1000,"Mediana (251-1000 kg)","Pesada (&gt;1000 kg)")))</f>
        <v/>
      </c>
    </row>
    <row r="267">
      <c r="I267" s="16">
        <f>IF(AND(G267&lt;&gt;"",H267&lt;&gt;""),G267*H267,"")</f>
        <v/>
      </c>
      <c r="J267" s="16">
        <f>IF(H267="","",IF(H267&lt;=250,"Liviana (0-250 kg)",IF(H267&lt;=1000,"Mediana (251-1000 kg)","Pesada (&gt;1000 kg)")))</f>
        <v/>
      </c>
    </row>
    <row r="268">
      <c r="I268" s="16">
        <f>IF(AND(G268&lt;&gt;"",H268&lt;&gt;""),G268*H268,"")</f>
        <v/>
      </c>
      <c r="J268" s="16">
        <f>IF(H268="","",IF(H268&lt;=250,"Liviana (0-250 kg)",IF(H268&lt;=1000,"Mediana (251-1000 kg)","Pesada (&gt;1000 kg)")))</f>
        <v/>
      </c>
    </row>
    <row r="269">
      <c r="I269" s="16">
        <f>IF(AND(G269&lt;&gt;"",H269&lt;&gt;""),G269*H269,"")</f>
        <v/>
      </c>
      <c r="J269" s="16">
        <f>IF(H269="","",IF(H269&lt;=250,"Liviana (0-250 kg)",IF(H269&lt;=1000,"Mediana (251-1000 kg)","Pesada (&gt;1000 kg)")))</f>
        <v/>
      </c>
    </row>
    <row r="270">
      <c r="I270" s="16">
        <f>IF(AND(G270&lt;&gt;"",H270&lt;&gt;""),G270*H270,"")</f>
        <v/>
      </c>
      <c r="J270" s="16">
        <f>IF(H270="","",IF(H270&lt;=250,"Liviana (0-250 kg)",IF(H270&lt;=1000,"Mediana (251-1000 kg)","Pesada (&gt;1000 kg)")))</f>
        <v/>
      </c>
    </row>
    <row r="271">
      <c r="I271" s="16">
        <f>IF(AND(G271&lt;&gt;"",H271&lt;&gt;""),G271*H271,"")</f>
        <v/>
      </c>
      <c r="J271" s="16">
        <f>IF(H271="","",IF(H271&lt;=250,"Liviana (0-250 kg)",IF(H271&lt;=1000,"Mediana (251-1000 kg)","Pesada (&gt;1000 kg)")))</f>
        <v/>
      </c>
    </row>
    <row r="272">
      <c r="I272" s="16">
        <f>IF(AND(G272&lt;&gt;"",H272&lt;&gt;""),G272*H272,"")</f>
        <v/>
      </c>
      <c r="J272" s="16">
        <f>IF(H272="","",IF(H272&lt;=250,"Liviana (0-250 kg)",IF(H272&lt;=1000,"Mediana (251-1000 kg)","Pesada (&gt;1000 kg)")))</f>
        <v/>
      </c>
    </row>
    <row r="273">
      <c r="I273" s="16">
        <f>IF(AND(G273&lt;&gt;"",H273&lt;&gt;""),G273*H273,"")</f>
        <v/>
      </c>
      <c r="J273" s="16">
        <f>IF(H273="","",IF(H273&lt;=250,"Liviana (0-250 kg)",IF(H273&lt;=1000,"Mediana (251-1000 kg)","Pesada (&gt;1000 kg)")))</f>
        <v/>
      </c>
    </row>
    <row r="274">
      <c r="I274" s="16">
        <f>IF(AND(G274&lt;&gt;"",H274&lt;&gt;""),G274*H274,"")</f>
        <v/>
      </c>
      <c r="J274" s="16">
        <f>IF(H274="","",IF(H274&lt;=250,"Liviana (0-250 kg)",IF(H274&lt;=1000,"Mediana (251-1000 kg)","Pesada (&gt;1000 kg)")))</f>
        <v/>
      </c>
    </row>
    <row r="275">
      <c r="I275" s="16">
        <f>IF(AND(G275&lt;&gt;"",H275&lt;&gt;""),G275*H275,"")</f>
        <v/>
      </c>
      <c r="J275" s="16">
        <f>IF(H275="","",IF(H275&lt;=250,"Liviana (0-250 kg)",IF(H275&lt;=1000,"Mediana (251-1000 kg)","Pesada (&gt;1000 kg)")))</f>
        <v/>
      </c>
    </row>
    <row r="276">
      <c r="I276" s="16">
        <f>IF(AND(G276&lt;&gt;"",H276&lt;&gt;""),G276*H276,"")</f>
        <v/>
      </c>
      <c r="J276" s="16">
        <f>IF(H276="","",IF(H276&lt;=250,"Liviana (0-250 kg)",IF(H276&lt;=1000,"Mediana (251-1000 kg)","Pesada (&gt;1000 kg)")))</f>
        <v/>
      </c>
    </row>
    <row r="277">
      <c r="I277" s="16">
        <f>IF(AND(G277&lt;&gt;"",H277&lt;&gt;""),G277*H277,"")</f>
        <v/>
      </c>
      <c r="J277" s="16">
        <f>IF(H277="","",IF(H277&lt;=250,"Liviana (0-250 kg)",IF(H277&lt;=1000,"Mediana (251-1000 kg)","Pesada (&gt;1000 kg)")))</f>
        <v/>
      </c>
    </row>
    <row r="278">
      <c r="I278" s="16">
        <f>IF(AND(G278&lt;&gt;"",H278&lt;&gt;""),G278*H278,"")</f>
        <v/>
      </c>
      <c r="J278" s="16">
        <f>IF(H278="","",IF(H278&lt;=250,"Liviana (0-250 kg)",IF(H278&lt;=1000,"Mediana (251-1000 kg)","Pesada (&gt;1000 kg)")))</f>
        <v/>
      </c>
    </row>
    <row r="279">
      <c r="I279" s="16">
        <f>IF(AND(G279&lt;&gt;"",H279&lt;&gt;""),G279*H279,"")</f>
        <v/>
      </c>
      <c r="J279" s="16">
        <f>IF(H279="","",IF(H279&lt;=250,"Liviana (0-250 kg)",IF(H279&lt;=1000,"Mediana (251-1000 kg)","Pesada (&gt;1000 kg)")))</f>
        <v/>
      </c>
    </row>
    <row r="280">
      <c r="I280" s="16">
        <f>IF(AND(G280&lt;&gt;"",H280&lt;&gt;""),G280*H280,"")</f>
        <v/>
      </c>
      <c r="J280" s="16">
        <f>IF(H280="","",IF(H280&lt;=250,"Liviana (0-250 kg)",IF(H280&lt;=1000,"Mediana (251-1000 kg)","Pesada (&gt;1000 kg)")))</f>
        <v/>
      </c>
    </row>
    <row r="281">
      <c r="I281" s="16">
        <f>IF(AND(G281&lt;&gt;"",H281&lt;&gt;""),G281*H281,"")</f>
        <v/>
      </c>
      <c r="J281" s="16">
        <f>IF(H281="","",IF(H281&lt;=250,"Liviana (0-250 kg)",IF(H281&lt;=1000,"Mediana (251-1000 kg)","Pesada (&gt;1000 kg)")))</f>
        <v/>
      </c>
    </row>
    <row r="282">
      <c r="I282" s="16">
        <f>IF(AND(G282&lt;&gt;"",H282&lt;&gt;""),G282*H282,"")</f>
        <v/>
      </c>
      <c r="J282" s="16">
        <f>IF(H282="","",IF(H282&lt;=250,"Liviana (0-250 kg)",IF(H282&lt;=1000,"Mediana (251-1000 kg)","Pesada (&gt;1000 kg)")))</f>
        <v/>
      </c>
    </row>
    <row r="283">
      <c r="I283" s="16">
        <f>IF(AND(G283&lt;&gt;"",H283&lt;&gt;""),G283*H283,"")</f>
        <v/>
      </c>
      <c r="J283" s="16">
        <f>IF(H283="","",IF(H283&lt;=250,"Liviana (0-250 kg)",IF(H283&lt;=1000,"Mediana (251-1000 kg)","Pesada (&gt;1000 kg)")))</f>
        <v/>
      </c>
    </row>
    <row r="284">
      <c r="I284" s="16">
        <f>IF(AND(G284&lt;&gt;"",H284&lt;&gt;""),G284*H284,"")</f>
        <v/>
      </c>
      <c r="J284" s="16">
        <f>IF(H284="","",IF(H284&lt;=250,"Liviana (0-250 kg)",IF(H284&lt;=1000,"Mediana (251-1000 kg)","Pesada (&gt;1000 kg)")))</f>
        <v/>
      </c>
    </row>
    <row r="285">
      <c r="I285" s="16">
        <f>IF(AND(G285&lt;&gt;"",H285&lt;&gt;""),G285*H285,"")</f>
        <v/>
      </c>
      <c r="J285" s="16">
        <f>IF(H285="","",IF(H285&lt;=250,"Liviana (0-250 kg)",IF(H285&lt;=1000,"Mediana (251-1000 kg)","Pesada (&gt;1000 kg)")))</f>
        <v/>
      </c>
    </row>
    <row r="286">
      <c r="I286" s="16">
        <f>IF(AND(G286&lt;&gt;"",H286&lt;&gt;""),G286*H286,"")</f>
        <v/>
      </c>
      <c r="J286" s="16">
        <f>IF(H286="","",IF(H286&lt;=250,"Liviana (0-250 kg)",IF(H286&lt;=1000,"Mediana (251-1000 kg)","Pesada (&gt;1000 kg)")))</f>
        <v/>
      </c>
    </row>
    <row r="287">
      <c r="I287" s="16">
        <f>IF(AND(G287&lt;&gt;"",H287&lt;&gt;""),G287*H287,"")</f>
        <v/>
      </c>
      <c r="J287" s="16">
        <f>IF(H287="","",IF(H287&lt;=250,"Liviana (0-250 kg)",IF(H287&lt;=1000,"Mediana (251-1000 kg)","Pesada (&gt;1000 kg)")))</f>
        <v/>
      </c>
    </row>
    <row r="288">
      <c r="I288" s="16">
        <f>IF(AND(G288&lt;&gt;"",H288&lt;&gt;""),G288*H288,"")</f>
        <v/>
      </c>
      <c r="J288" s="16">
        <f>IF(H288="","",IF(H288&lt;=250,"Liviana (0-250 kg)",IF(H288&lt;=1000,"Mediana (251-1000 kg)","Pesada (&gt;1000 kg)")))</f>
        <v/>
      </c>
    </row>
    <row r="289">
      <c r="I289" s="16">
        <f>IF(AND(G289&lt;&gt;"",H289&lt;&gt;""),G289*H289,"")</f>
        <v/>
      </c>
      <c r="J289" s="16">
        <f>IF(H289="","",IF(H289&lt;=250,"Liviana (0-250 kg)",IF(H289&lt;=1000,"Mediana (251-1000 kg)","Pesada (&gt;1000 kg)")))</f>
        <v/>
      </c>
    </row>
    <row r="290">
      <c r="I290" s="16">
        <f>IF(AND(G290&lt;&gt;"",H290&lt;&gt;""),G290*H290,"")</f>
        <v/>
      </c>
      <c r="J290" s="16">
        <f>IF(H290="","",IF(H290&lt;=250,"Liviana (0-250 kg)",IF(H290&lt;=1000,"Mediana (251-1000 kg)","Pesada (&gt;1000 kg)")))</f>
        <v/>
      </c>
    </row>
    <row r="291">
      <c r="I291" s="16">
        <f>IF(AND(G291&lt;&gt;"",H291&lt;&gt;""),G291*H291,"")</f>
        <v/>
      </c>
      <c r="J291" s="16">
        <f>IF(H291="","",IF(H291&lt;=250,"Liviana (0-250 kg)",IF(H291&lt;=1000,"Mediana (251-1000 kg)","Pesada (&gt;1000 kg)")))</f>
        <v/>
      </c>
    </row>
    <row r="292">
      <c r="I292" s="16">
        <f>IF(AND(G292&lt;&gt;"",H292&lt;&gt;""),G292*H292,"")</f>
        <v/>
      </c>
      <c r="J292" s="16">
        <f>IF(H292="","",IF(H292&lt;=250,"Liviana (0-250 kg)",IF(H292&lt;=1000,"Mediana (251-1000 kg)","Pesada (&gt;1000 kg)")))</f>
        <v/>
      </c>
    </row>
    <row r="293">
      <c r="I293" s="16">
        <f>IF(AND(G293&lt;&gt;"",H293&lt;&gt;""),G293*H293,"")</f>
        <v/>
      </c>
      <c r="J293" s="16">
        <f>IF(H293="","",IF(H293&lt;=250,"Liviana (0-250 kg)",IF(H293&lt;=1000,"Mediana (251-1000 kg)","Pesada (&gt;1000 kg)")))</f>
        <v/>
      </c>
    </row>
    <row r="294">
      <c r="I294" s="16">
        <f>IF(AND(G294&lt;&gt;"",H294&lt;&gt;""),G294*H294,"")</f>
        <v/>
      </c>
      <c r="J294" s="16">
        <f>IF(H294="","",IF(H294&lt;=250,"Liviana (0-250 kg)",IF(H294&lt;=1000,"Mediana (251-1000 kg)","Pesada (&gt;1000 kg)")))</f>
        <v/>
      </c>
    </row>
    <row r="295">
      <c r="I295" s="16">
        <f>IF(AND(G295&lt;&gt;"",H295&lt;&gt;""),G295*H295,"")</f>
        <v/>
      </c>
      <c r="J295" s="16">
        <f>IF(H295="","",IF(H295&lt;=250,"Liviana (0-250 kg)",IF(H295&lt;=1000,"Mediana (251-1000 kg)","Pesada (&gt;1000 kg)")))</f>
        <v/>
      </c>
    </row>
    <row r="296">
      <c r="I296" s="16">
        <f>IF(AND(G296&lt;&gt;"",H296&lt;&gt;""),G296*H296,"")</f>
        <v/>
      </c>
      <c r="J296" s="16">
        <f>IF(H296="","",IF(H296&lt;=250,"Liviana (0-250 kg)",IF(H296&lt;=1000,"Mediana (251-1000 kg)","Pesada (&gt;1000 kg)")))</f>
        <v/>
      </c>
    </row>
    <row r="297">
      <c r="I297" s="16">
        <f>IF(AND(G297&lt;&gt;"",H297&lt;&gt;""),G297*H297,"")</f>
        <v/>
      </c>
      <c r="J297" s="16">
        <f>IF(H297="","",IF(H297&lt;=250,"Liviana (0-250 kg)",IF(H297&lt;=1000,"Mediana (251-1000 kg)","Pesada (&gt;1000 kg)")))</f>
        <v/>
      </c>
    </row>
    <row r="298">
      <c r="I298" s="16">
        <f>IF(AND(G298&lt;&gt;"",H298&lt;&gt;""),G298*H298,"")</f>
        <v/>
      </c>
      <c r="J298" s="16">
        <f>IF(H298="","",IF(H298&lt;=250,"Liviana (0-250 kg)",IF(H298&lt;=1000,"Mediana (251-1000 kg)","Pesada (&gt;1000 kg)")))</f>
        <v/>
      </c>
    </row>
    <row r="299">
      <c r="I299" s="16">
        <f>IF(AND(G299&lt;&gt;"",H299&lt;&gt;""),G299*H299,"")</f>
        <v/>
      </c>
      <c r="J299" s="16">
        <f>IF(H299="","",IF(H299&lt;=250,"Liviana (0-250 kg)",IF(H299&lt;=1000,"Mediana (251-1000 kg)","Pesada (&gt;1000 kg)")))</f>
        <v/>
      </c>
    </row>
    <row r="300">
      <c r="I300" s="16">
        <f>IF(AND(G300&lt;&gt;"",H300&lt;&gt;""),G300*H300,"")</f>
        <v/>
      </c>
      <c r="J300" s="16">
        <f>IF(H300="","",IF(H300&lt;=250,"Liviana (0-250 kg)",IF(H300&lt;=1000,"Mediana (251-1000 kg)","Pesada (&gt;1000 kg)")))</f>
        <v/>
      </c>
    </row>
    <row r="301">
      <c r="I301" s="16">
        <f>IF(AND(G301&lt;&gt;"",H301&lt;&gt;""),G301*H301,"")</f>
        <v/>
      </c>
      <c r="J301" s="16">
        <f>IF(H301="","",IF(H301&lt;=250,"Liviana (0-250 kg)",IF(H301&lt;=1000,"Mediana (251-1000 kg)","Pesada (&gt;1000 kg)")))</f>
        <v/>
      </c>
    </row>
    <row r="302">
      <c r="I302" s="16">
        <f>IF(AND(G302&lt;&gt;"",H302&lt;&gt;""),G302*H302,"")</f>
        <v/>
      </c>
      <c r="J302" s="16">
        <f>IF(H302="","",IF(H302&lt;=250,"Liviana (0-250 kg)",IF(H302&lt;=1000,"Mediana (251-1000 kg)","Pesada (&gt;1000 kg)")))</f>
        <v/>
      </c>
    </row>
    <row r="303">
      <c r="I303" s="16">
        <f>IF(AND(G303&lt;&gt;"",H303&lt;&gt;""),G303*H303,"")</f>
        <v/>
      </c>
      <c r="J303" s="16">
        <f>IF(H303="","",IF(H303&lt;=250,"Liviana (0-250 kg)",IF(H303&lt;=1000,"Mediana (251-1000 kg)","Pesada (&gt;1000 kg)")))</f>
        <v/>
      </c>
    </row>
    <row r="304">
      <c r="I304" s="16">
        <f>IF(AND(G304&lt;&gt;"",H304&lt;&gt;""),G304*H304,"")</f>
        <v/>
      </c>
      <c r="J304" s="16">
        <f>IF(H304="","",IF(H304&lt;=250,"Liviana (0-250 kg)",IF(H304&lt;=1000,"Mediana (251-1000 kg)","Pesada (&gt;1000 kg)")))</f>
        <v/>
      </c>
    </row>
    <row r="305">
      <c r="I305" s="16">
        <f>IF(AND(G305&lt;&gt;"",H305&lt;&gt;""),G305*H305,"")</f>
        <v/>
      </c>
      <c r="J305" s="16">
        <f>IF(H305="","",IF(H305&lt;=250,"Liviana (0-250 kg)",IF(H305&lt;=1000,"Mediana (251-1000 kg)","Pesada (&gt;1000 kg)")))</f>
        <v/>
      </c>
    </row>
    <row r="306">
      <c r="I306" s="16">
        <f>IF(AND(G306&lt;&gt;"",H306&lt;&gt;""),G306*H306,"")</f>
        <v/>
      </c>
      <c r="J306" s="16">
        <f>IF(H306="","",IF(H306&lt;=250,"Liviana (0-250 kg)",IF(H306&lt;=1000,"Mediana (251-1000 kg)","Pesada (&gt;1000 kg)")))</f>
        <v/>
      </c>
    </row>
    <row r="307">
      <c r="I307" s="16">
        <f>IF(AND(G307&lt;&gt;"",H307&lt;&gt;""),G307*H307,"")</f>
        <v/>
      </c>
      <c r="J307" s="16">
        <f>IF(H307="","",IF(H307&lt;=250,"Liviana (0-250 kg)",IF(H307&lt;=1000,"Mediana (251-1000 kg)","Pesada (&gt;1000 kg)")))</f>
        <v/>
      </c>
    </row>
    <row r="308">
      <c r="I308" s="16">
        <f>IF(AND(G308&lt;&gt;"",H308&lt;&gt;""),G308*H308,"")</f>
        <v/>
      </c>
      <c r="J308" s="16">
        <f>IF(H308="","",IF(H308&lt;=250,"Liviana (0-250 kg)",IF(H308&lt;=1000,"Mediana (251-1000 kg)","Pesada (&gt;1000 kg)")))</f>
        <v/>
      </c>
    </row>
    <row r="309">
      <c r="I309" s="16">
        <f>IF(AND(G309&lt;&gt;"",H309&lt;&gt;""),G309*H309,"")</f>
        <v/>
      </c>
      <c r="J309" s="16">
        <f>IF(H309="","",IF(H309&lt;=250,"Liviana (0-250 kg)",IF(H309&lt;=1000,"Mediana (251-1000 kg)","Pesada (&gt;1000 kg)")))</f>
        <v/>
      </c>
    </row>
    <row r="310">
      <c r="I310" s="16">
        <f>IF(AND(G310&lt;&gt;"",H310&lt;&gt;""),G310*H310,"")</f>
        <v/>
      </c>
      <c r="J310" s="16">
        <f>IF(H310="","",IF(H310&lt;=250,"Liviana (0-250 kg)",IF(H310&lt;=1000,"Mediana (251-1000 kg)","Pesada (&gt;1000 kg)")))</f>
        <v/>
      </c>
    </row>
    <row r="311">
      <c r="I311" s="16">
        <f>IF(AND(G311&lt;&gt;"",H311&lt;&gt;""),G311*H311,"")</f>
        <v/>
      </c>
      <c r="J311" s="16">
        <f>IF(H311="","",IF(H311&lt;=250,"Liviana (0-250 kg)",IF(H311&lt;=1000,"Mediana (251-1000 kg)","Pesada (&gt;1000 kg)")))</f>
        <v/>
      </c>
    </row>
    <row r="312">
      <c r="I312" s="16">
        <f>IF(AND(G312&lt;&gt;"",H312&lt;&gt;""),G312*H312,"")</f>
        <v/>
      </c>
      <c r="J312" s="16">
        <f>IF(H312="","",IF(H312&lt;=250,"Liviana (0-250 kg)",IF(H312&lt;=1000,"Mediana (251-1000 kg)","Pesada (&gt;1000 kg)")))</f>
        <v/>
      </c>
    </row>
    <row r="313">
      <c r="I313" s="16">
        <f>IF(AND(G313&lt;&gt;"",H313&lt;&gt;""),G313*H313,"")</f>
        <v/>
      </c>
      <c r="J313" s="16">
        <f>IF(H313="","",IF(H313&lt;=250,"Liviana (0-250 kg)",IF(H313&lt;=1000,"Mediana (251-1000 kg)","Pesada (&gt;1000 kg)")))</f>
        <v/>
      </c>
    </row>
    <row r="314">
      <c r="I314" s="16">
        <f>IF(AND(G314&lt;&gt;"",H314&lt;&gt;""),G314*H314,"")</f>
        <v/>
      </c>
      <c r="J314" s="16">
        <f>IF(H314="","",IF(H314&lt;=250,"Liviana (0-250 kg)",IF(H314&lt;=1000,"Mediana (251-1000 kg)","Pesada (&gt;1000 kg)")))</f>
        <v/>
      </c>
    </row>
    <row r="315">
      <c r="I315" s="16">
        <f>IF(AND(G315&lt;&gt;"",H315&lt;&gt;""),G315*H315,"")</f>
        <v/>
      </c>
      <c r="J315" s="16">
        <f>IF(H315="","",IF(H315&lt;=250,"Liviana (0-250 kg)",IF(H315&lt;=1000,"Mediana (251-1000 kg)","Pesada (&gt;1000 kg)")))</f>
        <v/>
      </c>
    </row>
    <row r="316">
      <c r="I316" s="16">
        <f>IF(AND(G316&lt;&gt;"",H316&lt;&gt;""),G316*H316,"")</f>
        <v/>
      </c>
      <c r="J316" s="16">
        <f>IF(H316="","",IF(H316&lt;=250,"Liviana (0-250 kg)",IF(H316&lt;=1000,"Mediana (251-1000 kg)","Pesada (&gt;1000 kg)")))</f>
        <v/>
      </c>
    </row>
    <row r="317">
      <c r="I317" s="16">
        <f>IF(AND(G317&lt;&gt;"",H317&lt;&gt;""),G317*H317,"")</f>
        <v/>
      </c>
      <c r="J317" s="16">
        <f>IF(H317="","",IF(H317&lt;=250,"Liviana (0-250 kg)",IF(H317&lt;=1000,"Mediana (251-1000 kg)","Pesada (&gt;1000 kg)")))</f>
        <v/>
      </c>
    </row>
    <row r="318">
      <c r="I318" s="16">
        <f>IF(AND(G318&lt;&gt;"",H318&lt;&gt;""),G318*H318,"")</f>
        <v/>
      </c>
      <c r="J318" s="16">
        <f>IF(H318="","",IF(H318&lt;=250,"Liviana (0-250 kg)",IF(H318&lt;=1000,"Mediana (251-1000 kg)","Pesada (&gt;1000 kg)")))</f>
        <v/>
      </c>
    </row>
    <row r="319">
      <c r="I319" s="16">
        <f>IF(AND(G319&lt;&gt;"",H319&lt;&gt;""),G319*H319,"")</f>
        <v/>
      </c>
      <c r="J319" s="16">
        <f>IF(H319="","",IF(H319&lt;=250,"Liviana (0-250 kg)",IF(H319&lt;=1000,"Mediana (251-1000 kg)","Pesada (&gt;1000 kg)")))</f>
        <v/>
      </c>
    </row>
    <row r="320">
      <c r="I320" s="16">
        <f>IF(AND(G320&lt;&gt;"",H320&lt;&gt;""),G320*H320,"")</f>
        <v/>
      </c>
      <c r="J320" s="16">
        <f>IF(H320="","",IF(H320&lt;=250,"Liviana (0-250 kg)",IF(H320&lt;=1000,"Mediana (251-1000 kg)","Pesada (&gt;1000 kg)")))</f>
        <v/>
      </c>
    </row>
    <row r="321">
      <c r="I321" s="16">
        <f>IF(AND(G321&lt;&gt;"",H321&lt;&gt;""),G321*H321,"")</f>
        <v/>
      </c>
      <c r="J321" s="16">
        <f>IF(H321="","",IF(H321&lt;=250,"Liviana (0-250 kg)",IF(H321&lt;=1000,"Mediana (251-1000 kg)","Pesada (&gt;1000 kg)")))</f>
        <v/>
      </c>
    </row>
    <row r="322">
      <c r="I322" s="16">
        <f>IF(AND(G322&lt;&gt;"",H322&lt;&gt;""),G322*H322,"")</f>
        <v/>
      </c>
      <c r="J322" s="16">
        <f>IF(H322="","",IF(H322&lt;=250,"Liviana (0-250 kg)",IF(H322&lt;=1000,"Mediana (251-1000 kg)","Pesada (&gt;1000 kg)")))</f>
        <v/>
      </c>
    </row>
    <row r="323">
      <c r="I323" s="16">
        <f>IF(AND(G323&lt;&gt;"",H323&lt;&gt;""),G323*H323,"")</f>
        <v/>
      </c>
      <c r="J323" s="16">
        <f>IF(H323="","",IF(H323&lt;=250,"Liviana (0-250 kg)",IF(H323&lt;=1000,"Mediana (251-1000 kg)","Pesada (&gt;1000 kg)")))</f>
        <v/>
      </c>
    </row>
    <row r="324">
      <c r="I324" s="16">
        <f>IF(AND(G324&lt;&gt;"",H324&lt;&gt;""),G324*H324,"")</f>
        <v/>
      </c>
      <c r="J324" s="16">
        <f>IF(H324="","",IF(H324&lt;=250,"Liviana (0-250 kg)",IF(H324&lt;=1000,"Mediana (251-1000 kg)","Pesada (&gt;1000 kg)")))</f>
        <v/>
      </c>
    </row>
    <row r="325">
      <c r="I325" s="16">
        <f>IF(AND(G325&lt;&gt;"",H325&lt;&gt;""),G325*H325,"")</f>
        <v/>
      </c>
      <c r="J325" s="16">
        <f>IF(H325="","",IF(H325&lt;=250,"Liviana (0-250 kg)",IF(H325&lt;=1000,"Mediana (251-1000 kg)","Pesada (&gt;1000 kg)")))</f>
        <v/>
      </c>
    </row>
    <row r="326">
      <c r="I326" s="16">
        <f>IF(AND(G326&lt;&gt;"",H326&lt;&gt;""),G326*H326,"")</f>
        <v/>
      </c>
      <c r="J326" s="16">
        <f>IF(H326="","",IF(H326&lt;=250,"Liviana (0-250 kg)",IF(H326&lt;=1000,"Mediana (251-1000 kg)","Pesada (&gt;1000 kg)")))</f>
        <v/>
      </c>
    </row>
    <row r="327">
      <c r="I327" s="16">
        <f>IF(AND(G327&lt;&gt;"",H327&lt;&gt;""),G327*H327,"")</f>
        <v/>
      </c>
      <c r="J327" s="16">
        <f>IF(H327="","",IF(H327&lt;=250,"Liviana (0-250 kg)",IF(H327&lt;=1000,"Mediana (251-1000 kg)","Pesada (&gt;1000 kg)")))</f>
        <v/>
      </c>
    </row>
    <row r="328">
      <c r="I328" s="16">
        <f>IF(AND(G328&lt;&gt;"",H328&lt;&gt;""),G328*H328,"")</f>
        <v/>
      </c>
      <c r="J328" s="16">
        <f>IF(H328="","",IF(H328&lt;=250,"Liviana (0-250 kg)",IF(H328&lt;=1000,"Mediana (251-1000 kg)","Pesada (&gt;1000 kg)")))</f>
        <v/>
      </c>
    </row>
    <row r="329">
      <c r="I329" s="16">
        <f>IF(AND(G329&lt;&gt;"",H329&lt;&gt;""),G329*H329,"")</f>
        <v/>
      </c>
      <c r="J329" s="16">
        <f>IF(H329="","",IF(H329&lt;=250,"Liviana (0-250 kg)",IF(H329&lt;=1000,"Mediana (251-1000 kg)","Pesada (&gt;1000 kg)")))</f>
        <v/>
      </c>
    </row>
    <row r="330">
      <c r="I330" s="16">
        <f>IF(AND(G330&lt;&gt;"",H330&lt;&gt;""),G330*H330,"")</f>
        <v/>
      </c>
      <c r="J330" s="16">
        <f>IF(H330="","",IF(H330&lt;=250,"Liviana (0-250 kg)",IF(H330&lt;=1000,"Mediana (251-1000 kg)","Pesada (&gt;1000 kg)")))</f>
        <v/>
      </c>
    </row>
    <row r="331">
      <c r="I331" s="16">
        <f>IF(AND(G331&lt;&gt;"",H331&lt;&gt;""),G331*H331,"")</f>
        <v/>
      </c>
      <c r="J331" s="16">
        <f>IF(H331="","",IF(H331&lt;=250,"Liviana (0-250 kg)",IF(H331&lt;=1000,"Mediana (251-1000 kg)","Pesada (&gt;1000 kg)")))</f>
        <v/>
      </c>
    </row>
    <row r="332">
      <c r="I332" s="16">
        <f>IF(AND(G332&lt;&gt;"",H332&lt;&gt;""),G332*H332,"")</f>
        <v/>
      </c>
      <c r="J332" s="16">
        <f>IF(H332="","",IF(H332&lt;=250,"Liviana (0-250 kg)",IF(H332&lt;=1000,"Mediana (251-1000 kg)","Pesada (&gt;1000 kg)")))</f>
        <v/>
      </c>
    </row>
    <row r="333">
      <c r="I333" s="16">
        <f>IF(AND(G333&lt;&gt;"",H333&lt;&gt;""),G333*H333,"")</f>
        <v/>
      </c>
      <c r="J333" s="16">
        <f>IF(H333="","",IF(H333&lt;=250,"Liviana (0-250 kg)",IF(H333&lt;=1000,"Mediana (251-1000 kg)","Pesada (&gt;1000 kg)")))</f>
        <v/>
      </c>
    </row>
    <row r="334">
      <c r="I334" s="16">
        <f>IF(AND(G334&lt;&gt;"",H334&lt;&gt;""),G334*H334,"")</f>
        <v/>
      </c>
      <c r="J334" s="16">
        <f>IF(H334="","",IF(H334&lt;=250,"Liviana (0-250 kg)",IF(H334&lt;=1000,"Mediana (251-1000 kg)","Pesada (&gt;1000 kg)")))</f>
        <v/>
      </c>
    </row>
    <row r="335">
      <c r="I335" s="16">
        <f>IF(AND(G335&lt;&gt;"",H335&lt;&gt;""),G335*H335,"")</f>
        <v/>
      </c>
      <c r="J335" s="16">
        <f>IF(H335="","",IF(H335&lt;=250,"Liviana (0-250 kg)",IF(H335&lt;=1000,"Mediana (251-1000 kg)","Pesada (&gt;1000 kg)")))</f>
        <v/>
      </c>
    </row>
    <row r="336">
      <c r="I336" s="16">
        <f>IF(AND(G336&lt;&gt;"",H336&lt;&gt;""),G336*H336,"")</f>
        <v/>
      </c>
      <c r="J336" s="16">
        <f>IF(H336="","",IF(H336&lt;=250,"Liviana (0-250 kg)",IF(H336&lt;=1000,"Mediana (251-1000 kg)","Pesada (&gt;1000 kg)")))</f>
        <v/>
      </c>
    </row>
    <row r="337">
      <c r="I337" s="16">
        <f>IF(AND(G337&lt;&gt;"",H337&lt;&gt;""),G337*H337,"")</f>
        <v/>
      </c>
      <c r="J337" s="16">
        <f>IF(H337="","",IF(H337&lt;=250,"Liviana (0-250 kg)",IF(H337&lt;=1000,"Mediana (251-1000 kg)","Pesada (&gt;1000 kg)")))</f>
        <v/>
      </c>
    </row>
    <row r="338">
      <c r="I338" s="16">
        <f>IF(AND(G338&lt;&gt;"",H338&lt;&gt;""),G338*H338,"")</f>
        <v/>
      </c>
      <c r="J338" s="16">
        <f>IF(H338="","",IF(H338&lt;=250,"Liviana (0-250 kg)",IF(H338&lt;=1000,"Mediana (251-1000 kg)","Pesada (&gt;1000 kg)")))</f>
        <v/>
      </c>
    </row>
    <row r="339">
      <c r="I339" s="16">
        <f>IF(AND(G339&lt;&gt;"",H339&lt;&gt;""),G339*H339,"")</f>
        <v/>
      </c>
      <c r="J339" s="16">
        <f>IF(H339="","",IF(H339&lt;=250,"Liviana (0-250 kg)",IF(H339&lt;=1000,"Mediana (251-1000 kg)","Pesada (&gt;1000 kg)")))</f>
        <v/>
      </c>
    </row>
    <row r="340">
      <c r="I340" s="16">
        <f>IF(AND(G340&lt;&gt;"",H340&lt;&gt;""),G340*H340,"")</f>
        <v/>
      </c>
      <c r="J340" s="16">
        <f>IF(H340="","",IF(H340&lt;=250,"Liviana (0-250 kg)",IF(H340&lt;=1000,"Mediana (251-1000 kg)","Pesada (&gt;1000 kg)")))</f>
        <v/>
      </c>
    </row>
    <row r="341">
      <c r="I341" s="16">
        <f>IF(AND(G341&lt;&gt;"",H341&lt;&gt;""),G341*H341,"")</f>
        <v/>
      </c>
      <c r="J341" s="16">
        <f>IF(H341="","",IF(H341&lt;=250,"Liviana (0-250 kg)",IF(H341&lt;=1000,"Mediana (251-1000 kg)","Pesada (&gt;1000 kg)")))</f>
        <v/>
      </c>
    </row>
    <row r="342">
      <c r="I342" s="16">
        <f>IF(AND(G342&lt;&gt;"",H342&lt;&gt;""),G342*H342,"")</f>
        <v/>
      </c>
      <c r="J342" s="16">
        <f>IF(H342="","",IF(H342&lt;=250,"Liviana (0-250 kg)",IF(H342&lt;=1000,"Mediana (251-1000 kg)","Pesada (&gt;1000 kg)")))</f>
        <v/>
      </c>
    </row>
    <row r="343">
      <c r="I343" s="16">
        <f>IF(AND(G343&lt;&gt;"",H343&lt;&gt;""),G343*H343,"")</f>
        <v/>
      </c>
      <c r="J343" s="16">
        <f>IF(H343="","",IF(H343&lt;=250,"Liviana (0-250 kg)",IF(H343&lt;=1000,"Mediana (251-1000 kg)","Pesada (&gt;1000 kg)")))</f>
        <v/>
      </c>
    </row>
    <row r="344">
      <c r="I344" s="16">
        <f>IF(AND(G344&lt;&gt;"",H344&lt;&gt;""),G344*H344,"")</f>
        <v/>
      </c>
      <c r="J344" s="16">
        <f>IF(H344="","",IF(H344&lt;=250,"Liviana (0-250 kg)",IF(H344&lt;=1000,"Mediana (251-1000 kg)","Pesada (&gt;1000 kg)")))</f>
        <v/>
      </c>
    </row>
    <row r="345">
      <c r="I345" s="16">
        <f>IF(AND(G345&lt;&gt;"",H345&lt;&gt;""),G345*H345,"")</f>
        <v/>
      </c>
      <c r="J345" s="16">
        <f>IF(H345="","",IF(H345&lt;=250,"Liviana (0-250 kg)",IF(H345&lt;=1000,"Mediana (251-1000 kg)","Pesada (&gt;1000 kg)")))</f>
        <v/>
      </c>
    </row>
    <row r="346">
      <c r="I346" s="16">
        <f>IF(AND(G346&lt;&gt;"",H346&lt;&gt;""),G346*H346,"")</f>
        <v/>
      </c>
      <c r="J346" s="16">
        <f>IF(H346="","",IF(H346&lt;=250,"Liviana (0-250 kg)",IF(H346&lt;=1000,"Mediana (251-1000 kg)","Pesada (&gt;1000 kg)")))</f>
        <v/>
      </c>
    </row>
    <row r="347">
      <c r="I347" s="16">
        <f>IF(AND(G347&lt;&gt;"",H347&lt;&gt;""),G347*H347,"")</f>
        <v/>
      </c>
      <c r="J347" s="16">
        <f>IF(H347="","",IF(H347&lt;=250,"Liviana (0-250 kg)",IF(H347&lt;=1000,"Mediana (251-1000 kg)","Pesada (&gt;1000 kg)")))</f>
        <v/>
      </c>
    </row>
    <row r="348">
      <c r="I348" s="16">
        <f>IF(AND(G348&lt;&gt;"",H348&lt;&gt;""),G348*H348,"")</f>
        <v/>
      </c>
      <c r="J348" s="16">
        <f>IF(H348="","",IF(H348&lt;=250,"Liviana (0-250 kg)",IF(H348&lt;=1000,"Mediana (251-1000 kg)","Pesada (&gt;1000 kg)")))</f>
        <v/>
      </c>
    </row>
    <row r="349">
      <c r="I349" s="16">
        <f>IF(AND(G349&lt;&gt;"",H349&lt;&gt;""),G349*H349,"")</f>
        <v/>
      </c>
      <c r="J349" s="16">
        <f>IF(H349="","",IF(H349&lt;=250,"Liviana (0-250 kg)",IF(H349&lt;=1000,"Mediana (251-1000 kg)","Pesada (&gt;1000 kg)")))</f>
        <v/>
      </c>
    </row>
    <row r="350">
      <c r="I350" s="16">
        <f>IF(AND(G350&lt;&gt;"",H350&lt;&gt;""),G350*H350,"")</f>
        <v/>
      </c>
      <c r="J350" s="16">
        <f>IF(H350="","",IF(H350&lt;=250,"Liviana (0-250 kg)",IF(H350&lt;=1000,"Mediana (251-1000 kg)","Pesada (&gt;1000 kg)")))</f>
        <v/>
      </c>
    </row>
    <row r="351">
      <c r="I351" s="16">
        <f>IF(AND(G351&lt;&gt;"",H351&lt;&gt;""),G351*H351,"")</f>
        <v/>
      </c>
      <c r="J351" s="16">
        <f>IF(H351="","",IF(H351&lt;=250,"Liviana (0-250 kg)",IF(H351&lt;=1000,"Mediana (251-1000 kg)","Pesada (&gt;1000 kg)")))</f>
        <v/>
      </c>
    </row>
    <row r="352">
      <c r="I352" s="16">
        <f>IF(AND(G352&lt;&gt;"",H352&lt;&gt;""),G352*H352,"")</f>
        <v/>
      </c>
      <c r="J352" s="16">
        <f>IF(H352="","",IF(H352&lt;=250,"Liviana (0-250 kg)",IF(H352&lt;=1000,"Mediana (251-1000 kg)","Pesada (&gt;1000 kg)")))</f>
        <v/>
      </c>
    </row>
    <row r="353">
      <c r="I353" s="16">
        <f>IF(AND(G353&lt;&gt;"",H353&lt;&gt;""),G353*H353,"")</f>
        <v/>
      </c>
      <c r="J353" s="16">
        <f>IF(H353="","",IF(H353&lt;=250,"Liviana (0-250 kg)",IF(H353&lt;=1000,"Mediana (251-1000 kg)","Pesada (&gt;1000 kg)")))</f>
        <v/>
      </c>
    </row>
    <row r="354">
      <c r="I354" s="16">
        <f>IF(AND(G354&lt;&gt;"",H354&lt;&gt;""),G354*H354,"")</f>
        <v/>
      </c>
      <c r="J354" s="16">
        <f>IF(H354="","",IF(H354&lt;=250,"Liviana (0-250 kg)",IF(H354&lt;=1000,"Mediana (251-1000 kg)","Pesada (&gt;1000 kg)")))</f>
        <v/>
      </c>
    </row>
    <row r="355">
      <c r="I355" s="16">
        <f>IF(AND(G355&lt;&gt;"",H355&lt;&gt;""),G355*H355,"")</f>
        <v/>
      </c>
      <c r="J355" s="16">
        <f>IF(H355="","",IF(H355&lt;=250,"Liviana (0-250 kg)",IF(H355&lt;=1000,"Mediana (251-1000 kg)","Pesada (&gt;1000 kg)")))</f>
        <v/>
      </c>
    </row>
    <row r="356">
      <c r="I356" s="16">
        <f>IF(AND(G356&lt;&gt;"",H356&lt;&gt;""),G356*H356,"")</f>
        <v/>
      </c>
      <c r="J356" s="16">
        <f>IF(H356="","",IF(H356&lt;=250,"Liviana (0-250 kg)",IF(H356&lt;=1000,"Mediana (251-1000 kg)","Pesada (&gt;1000 kg)")))</f>
        <v/>
      </c>
    </row>
    <row r="357">
      <c r="I357" s="16">
        <f>IF(AND(G357&lt;&gt;"",H357&lt;&gt;""),G357*H357,"")</f>
        <v/>
      </c>
      <c r="J357" s="16">
        <f>IF(H357="","",IF(H357&lt;=250,"Liviana (0-250 kg)",IF(H357&lt;=1000,"Mediana (251-1000 kg)","Pesada (&gt;1000 kg)")))</f>
        <v/>
      </c>
    </row>
    <row r="358">
      <c r="I358" s="16">
        <f>IF(AND(G358&lt;&gt;"",H358&lt;&gt;""),G358*H358,"")</f>
        <v/>
      </c>
      <c r="J358" s="16">
        <f>IF(H358="","",IF(H358&lt;=250,"Liviana (0-250 kg)",IF(H358&lt;=1000,"Mediana (251-1000 kg)","Pesada (&gt;1000 kg)")))</f>
        <v/>
      </c>
    </row>
    <row r="359">
      <c r="I359" s="16">
        <f>IF(AND(G359&lt;&gt;"",H359&lt;&gt;""),G359*H359,"")</f>
        <v/>
      </c>
      <c r="J359" s="16">
        <f>IF(H359="","",IF(H359&lt;=250,"Liviana (0-250 kg)",IF(H359&lt;=1000,"Mediana (251-1000 kg)","Pesada (&gt;1000 kg)")))</f>
        <v/>
      </c>
    </row>
    <row r="360">
      <c r="I360" s="16">
        <f>IF(AND(G360&lt;&gt;"",H360&lt;&gt;""),G360*H360,"")</f>
        <v/>
      </c>
      <c r="J360" s="16">
        <f>IF(H360="","",IF(H360&lt;=250,"Liviana (0-250 kg)",IF(H360&lt;=1000,"Mediana (251-1000 kg)","Pesada (&gt;1000 kg)")))</f>
        <v/>
      </c>
    </row>
    <row r="361">
      <c r="I361" s="16">
        <f>IF(AND(G361&lt;&gt;"",H361&lt;&gt;""),G361*H361,"")</f>
        <v/>
      </c>
      <c r="J361" s="16">
        <f>IF(H361="","",IF(H361&lt;=250,"Liviana (0-250 kg)",IF(H361&lt;=1000,"Mediana (251-1000 kg)","Pesada (&gt;1000 kg)")))</f>
        <v/>
      </c>
    </row>
    <row r="362">
      <c r="I362" s="16">
        <f>IF(AND(G362&lt;&gt;"",H362&lt;&gt;""),G362*H362,"")</f>
        <v/>
      </c>
      <c r="J362" s="16">
        <f>IF(H362="","",IF(H362&lt;=250,"Liviana (0-250 kg)",IF(H362&lt;=1000,"Mediana (251-1000 kg)","Pesada (&gt;1000 kg)")))</f>
        <v/>
      </c>
    </row>
    <row r="363">
      <c r="I363" s="16">
        <f>IF(AND(G363&lt;&gt;"",H363&lt;&gt;""),G363*H363,"")</f>
        <v/>
      </c>
      <c r="J363" s="16">
        <f>IF(H363="","",IF(H363&lt;=250,"Liviana (0-250 kg)",IF(H363&lt;=1000,"Mediana (251-1000 kg)","Pesada (&gt;1000 kg)")))</f>
        <v/>
      </c>
    </row>
    <row r="364">
      <c r="I364" s="16">
        <f>IF(AND(G364&lt;&gt;"",H364&lt;&gt;""),G364*H364,"")</f>
        <v/>
      </c>
      <c r="J364" s="16">
        <f>IF(H364="","",IF(H364&lt;=250,"Liviana (0-250 kg)",IF(H364&lt;=1000,"Mediana (251-1000 kg)","Pesada (&gt;1000 kg)")))</f>
        <v/>
      </c>
    </row>
    <row r="365">
      <c r="I365" s="16">
        <f>IF(AND(G365&lt;&gt;"",H365&lt;&gt;""),G365*H365,"")</f>
        <v/>
      </c>
      <c r="J365" s="16">
        <f>IF(H365="","",IF(H365&lt;=250,"Liviana (0-250 kg)",IF(H365&lt;=1000,"Mediana (251-1000 kg)","Pesada (&gt;1000 kg)")))</f>
        <v/>
      </c>
    </row>
    <row r="366">
      <c r="I366" s="16">
        <f>IF(AND(G366&lt;&gt;"",H366&lt;&gt;""),G366*H366,"")</f>
        <v/>
      </c>
      <c r="J366" s="16">
        <f>IF(H366="","",IF(H366&lt;=250,"Liviana (0-250 kg)",IF(H366&lt;=1000,"Mediana (251-1000 kg)","Pesada (&gt;1000 kg)")))</f>
        <v/>
      </c>
    </row>
    <row r="367">
      <c r="I367" s="16">
        <f>IF(AND(G367&lt;&gt;"",H367&lt;&gt;""),G367*H367,"")</f>
        <v/>
      </c>
      <c r="J367" s="16">
        <f>IF(H367="","",IF(H367&lt;=250,"Liviana (0-250 kg)",IF(H367&lt;=1000,"Mediana (251-1000 kg)","Pesada (&gt;1000 kg)")))</f>
        <v/>
      </c>
    </row>
    <row r="368">
      <c r="I368" s="16">
        <f>IF(AND(G368&lt;&gt;"",H368&lt;&gt;""),G368*H368,"")</f>
        <v/>
      </c>
      <c r="J368" s="16">
        <f>IF(H368="","",IF(H368&lt;=250,"Liviana (0-250 kg)",IF(H368&lt;=1000,"Mediana (251-1000 kg)","Pesada (&gt;1000 kg)")))</f>
        <v/>
      </c>
    </row>
    <row r="369">
      <c r="I369" s="16">
        <f>IF(AND(G369&lt;&gt;"",H369&lt;&gt;""),G369*H369,"")</f>
        <v/>
      </c>
      <c r="J369" s="16">
        <f>IF(H369="","",IF(H369&lt;=250,"Liviana (0-250 kg)",IF(H369&lt;=1000,"Mediana (251-1000 kg)","Pesada (&gt;1000 kg)")))</f>
        <v/>
      </c>
    </row>
    <row r="370">
      <c r="I370" s="16">
        <f>IF(AND(G370&lt;&gt;"",H370&lt;&gt;""),G370*H370,"")</f>
        <v/>
      </c>
      <c r="J370" s="16">
        <f>IF(H370="","",IF(H370&lt;=250,"Liviana (0-250 kg)",IF(H370&lt;=1000,"Mediana (251-1000 kg)","Pesada (&gt;1000 kg)")))</f>
        <v/>
      </c>
    </row>
    <row r="371">
      <c r="I371" s="16">
        <f>IF(AND(G371&lt;&gt;"",H371&lt;&gt;""),G371*H371,"")</f>
        <v/>
      </c>
      <c r="J371" s="16">
        <f>IF(H371="","",IF(H371&lt;=250,"Liviana (0-250 kg)",IF(H371&lt;=1000,"Mediana (251-1000 kg)","Pesada (&gt;1000 kg)")))</f>
        <v/>
      </c>
    </row>
    <row r="372">
      <c r="I372" s="16">
        <f>IF(AND(G372&lt;&gt;"",H372&lt;&gt;""),G372*H372,"")</f>
        <v/>
      </c>
      <c r="J372" s="16">
        <f>IF(H372="","",IF(H372&lt;=250,"Liviana (0-250 kg)",IF(H372&lt;=1000,"Mediana (251-1000 kg)","Pesada (&gt;1000 kg)")))</f>
        <v/>
      </c>
    </row>
    <row r="373">
      <c r="I373" s="16">
        <f>IF(AND(G373&lt;&gt;"",H373&lt;&gt;""),G373*H373,"")</f>
        <v/>
      </c>
      <c r="J373" s="16">
        <f>IF(H373="","",IF(H373&lt;=250,"Liviana (0-250 kg)",IF(H373&lt;=1000,"Mediana (251-1000 kg)","Pesada (&gt;1000 kg)")))</f>
        <v/>
      </c>
    </row>
    <row r="374">
      <c r="I374" s="16">
        <f>IF(AND(G374&lt;&gt;"",H374&lt;&gt;""),G374*H374,"")</f>
        <v/>
      </c>
      <c r="J374" s="16">
        <f>IF(H374="","",IF(H374&lt;=250,"Liviana (0-250 kg)",IF(H374&lt;=1000,"Mediana (251-1000 kg)","Pesada (&gt;1000 kg)")))</f>
        <v/>
      </c>
    </row>
    <row r="375">
      <c r="I375" s="16">
        <f>IF(AND(G375&lt;&gt;"",H375&lt;&gt;""),G375*H375,"")</f>
        <v/>
      </c>
      <c r="J375" s="16">
        <f>IF(H375="","",IF(H375&lt;=250,"Liviana (0-250 kg)",IF(H375&lt;=1000,"Mediana (251-1000 kg)","Pesada (&gt;1000 kg)")))</f>
        <v/>
      </c>
    </row>
    <row r="376">
      <c r="I376" s="16">
        <f>IF(AND(G376&lt;&gt;"",H376&lt;&gt;""),G376*H376,"")</f>
        <v/>
      </c>
      <c r="J376" s="16">
        <f>IF(H376="","",IF(H376&lt;=250,"Liviana (0-250 kg)",IF(H376&lt;=1000,"Mediana (251-1000 kg)","Pesada (&gt;1000 kg)")))</f>
        <v/>
      </c>
    </row>
    <row r="377">
      <c r="I377" s="16">
        <f>IF(AND(G377&lt;&gt;"",H377&lt;&gt;""),G377*H377,"")</f>
        <v/>
      </c>
      <c r="J377" s="16">
        <f>IF(H377="","",IF(H377&lt;=250,"Liviana (0-250 kg)",IF(H377&lt;=1000,"Mediana (251-1000 kg)","Pesada (&gt;1000 kg)")))</f>
        <v/>
      </c>
    </row>
    <row r="378">
      <c r="I378" s="16">
        <f>IF(AND(G378&lt;&gt;"",H378&lt;&gt;""),G378*H378,"")</f>
        <v/>
      </c>
      <c r="J378" s="16">
        <f>IF(H378="","",IF(H378&lt;=250,"Liviana (0-250 kg)",IF(H378&lt;=1000,"Mediana (251-1000 kg)","Pesada (&gt;1000 kg)")))</f>
        <v/>
      </c>
    </row>
    <row r="379">
      <c r="I379" s="16">
        <f>IF(AND(G379&lt;&gt;"",H379&lt;&gt;""),G379*H379,"")</f>
        <v/>
      </c>
      <c r="J379" s="16">
        <f>IF(H379="","",IF(H379&lt;=250,"Liviana (0-250 kg)",IF(H379&lt;=1000,"Mediana (251-1000 kg)","Pesada (&gt;1000 kg)")))</f>
        <v/>
      </c>
    </row>
    <row r="380">
      <c r="I380" s="16">
        <f>IF(AND(G380&lt;&gt;"",H380&lt;&gt;""),G380*H380,"")</f>
        <v/>
      </c>
      <c r="J380" s="16">
        <f>IF(H380="","",IF(H380&lt;=250,"Liviana (0-250 kg)",IF(H380&lt;=1000,"Mediana (251-1000 kg)","Pesada (&gt;1000 kg)")))</f>
        <v/>
      </c>
    </row>
    <row r="381">
      <c r="I381" s="16">
        <f>IF(AND(G381&lt;&gt;"",H381&lt;&gt;""),G381*H381,"")</f>
        <v/>
      </c>
      <c r="J381" s="16">
        <f>IF(H381="","",IF(H381&lt;=250,"Liviana (0-250 kg)",IF(H381&lt;=1000,"Mediana (251-1000 kg)","Pesada (&gt;1000 kg)")))</f>
        <v/>
      </c>
    </row>
    <row r="382">
      <c r="I382" s="16">
        <f>IF(AND(G382&lt;&gt;"",H382&lt;&gt;""),G382*H382,"")</f>
        <v/>
      </c>
      <c r="J382" s="16">
        <f>IF(H382="","",IF(H382&lt;=250,"Liviana (0-250 kg)",IF(H382&lt;=1000,"Mediana (251-1000 kg)","Pesada (&gt;1000 kg)")))</f>
        <v/>
      </c>
    </row>
    <row r="383">
      <c r="I383" s="16">
        <f>IF(AND(G383&lt;&gt;"",H383&lt;&gt;""),G383*H383,"")</f>
        <v/>
      </c>
      <c r="J383" s="16">
        <f>IF(H383="","",IF(H383&lt;=250,"Liviana (0-250 kg)",IF(H383&lt;=1000,"Mediana (251-1000 kg)","Pesada (&gt;1000 kg)")))</f>
        <v/>
      </c>
    </row>
    <row r="384">
      <c r="I384" s="16">
        <f>IF(AND(G384&lt;&gt;"",H384&lt;&gt;""),G384*H384,"")</f>
        <v/>
      </c>
      <c r="J384" s="16">
        <f>IF(H384="","",IF(H384&lt;=250,"Liviana (0-250 kg)",IF(H384&lt;=1000,"Mediana (251-1000 kg)","Pesada (&gt;1000 kg)")))</f>
        <v/>
      </c>
    </row>
    <row r="385">
      <c r="I385" s="16">
        <f>IF(AND(G385&lt;&gt;"",H385&lt;&gt;""),G385*H385,"")</f>
        <v/>
      </c>
      <c r="J385" s="16">
        <f>IF(H385="","",IF(H385&lt;=250,"Liviana (0-250 kg)",IF(H385&lt;=1000,"Mediana (251-1000 kg)","Pesada (&gt;1000 kg)")))</f>
        <v/>
      </c>
    </row>
    <row r="386">
      <c r="I386" s="16">
        <f>IF(AND(G386&lt;&gt;"",H386&lt;&gt;""),G386*H386,"")</f>
        <v/>
      </c>
      <c r="J386" s="16">
        <f>IF(H386="","",IF(H386&lt;=250,"Liviana (0-250 kg)",IF(H386&lt;=1000,"Mediana (251-1000 kg)","Pesada (&gt;1000 kg)")))</f>
        <v/>
      </c>
    </row>
    <row r="387">
      <c r="I387" s="16">
        <f>IF(AND(G387&lt;&gt;"",H387&lt;&gt;""),G387*H387,"")</f>
        <v/>
      </c>
      <c r="J387" s="16">
        <f>IF(H387="","",IF(H387&lt;=250,"Liviana (0-250 kg)",IF(H387&lt;=1000,"Mediana (251-1000 kg)","Pesada (&gt;1000 kg)")))</f>
        <v/>
      </c>
    </row>
    <row r="388">
      <c r="I388" s="16">
        <f>IF(AND(G388&lt;&gt;"",H388&lt;&gt;""),G388*H388,"")</f>
        <v/>
      </c>
      <c r="J388" s="16">
        <f>IF(H388="","",IF(H388&lt;=250,"Liviana (0-250 kg)",IF(H388&lt;=1000,"Mediana (251-1000 kg)","Pesada (&gt;1000 kg)")))</f>
        <v/>
      </c>
    </row>
    <row r="389">
      <c r="I389" s="16">
        <f>IF(AND(G389&lt;&gt;"",H389&lt;&gt;""),G389*H389,"")</f>
        <v/>
      </c>
      <c r="J389" s="16">
        <f>IF(H389="","",IF(H389&lt;=250,"Liviana (0-250 kg)",IF(H389&lt;=1000,"Mediana (251-1000 kg)","Pesada (&gt;1000 kg)")))</f>
        <v/>
      </c>
    </row>
    <row r="390">
      <c r="I390" s="16">
        <f>IF(AND(G390&lt;&gt;"",H390&lt;&gt;""),G390*H390,"")</f>
        <v/>
      </c>
      <c r="J390" s="16">
        <f>IF(H390="","",IF(H390&lt;=250,"Liviana (0-250 kg)",IF(H390&lt;=1000,"Mediana (251-1000 kg)","Pesada (&gt;1000 kg)")))</f>
        <v/>
      </c>
    </row>
    <row r="391">
      <c r="I391" s="16">
        <f>IF(AND(G391&lt;&gt;"",H391&lt;&gt;""),G391*H391,"")</f>
        <v/>
      </c>
      <c r="J391" s="16">
        <f>IF(H391="","",IF(H391&lt;=250,"Liviana (0-250 kg)",IF(H391&lt;=1000,"Mediana (251-1000 kg)","Pesada (&gt;1000 kg)")))</f>
        <v/>
      </c>
    </row>
    <row r="392">
      <c r="I392" s="16">
        <f>IF(AND(G392&lt;&gt;"",H392&lt;&gt;""),G392*H392,"")</f>
        <v/>
      </c>
      <c r="J392" s="16">
        <f>IF(H392="","",IF(H392&lt;=250,"Liviana (0-250 kg)",IF(H392&lt;=1000,"Mediana (251-1000 kg)","Pesada (&gt;1000 kg)")))</f>
        <v/>
      </c>
    </row>
    <row r="393">
      <c r="I393" s="16">
        <f>IF(AND(G393&lt;&gt;"",H393&lt;&gt;""),G393*H393,"")</f>
        <v/>
      </c>
      <c r="J393" s="16">
        <f>IF(H393="","",IF(H393&lt;=250,"Liviana (0-250 kg)",IF(H393&lt;=1000,"Mediana (251-1000 kg)","Pesada (&gt;1000 kg)")))</f>
        <v/>
      </c>
    </row>
    <row r="394">
      <c r="I394" s="16">
        <f>IF(AND(G394&lt;&gt;"",H394&lt;&gt;""),G394*H394,"")</f>
        <v/>
      </c>
      <c r="J394" s="16">
        <f>IF(H394="","",IF(H394&lt;=250,"Liviana (0-250 kg)",IF(H394&lt;=1000,"Mediana (251-1000 kg)","Pesada (&gt;1000 kg)")))</f>
        <v/>
      </c>
    </row>
    <row r="395">
      <c r="I395" s="16">
        <f>IF(AND(G395&lt;&gt;"",H395&lt;&gt;""),G395*H395,"")</f>
        <v/>
      </c>
      <c r="J395" s="16">
        <f>IF(H395="","",IF(H395&lt;=250,"Liviana (0-250 kg)",IF(H395&lt;=1000,"Mediana (251-1000 kg)","Pesada (&gt;1000 kg)")))</f>
        <v/>
      </c>
    </row>
    <row r="396">
      <c r="I396" s="16">
        <f>IF(AND(G396&lt;&gt;"",H396&lt;&gt;""),G396*H396,"")</f>
        <v/>
      </c>
      <c r="J396" s="16">
        <f>IF(H396="","",IF(H396&lt;=250,"Liviana (0-250 kg)",IF(H396&lt;=1000,"Mediana (251-1000 kg)","Pesada (&gt;1000 kg)")))</f>
        <v/>
      </c>
    </row>
    <row r="397">
      <c r="I397" s="16">
        <f>IF(AND(G397&lt;&gt;"",H397&lt;&gt;""),G397*H397,"")</f>
        <v/>
      </c>
      <c r="J397" s="16">
        <f>IF(H397="","",IF(H397&lt;=250,"Liviana (0-250 kg)",IF(H397&lt;=1000,"Mediana (251-1000 kg)","Pesada (&gt;1000 kg)")))</f>
        <v/>
      </c>
    </row>
    <row r="398">
      <c r="I398" s="16">
        <f>IF(AND(G398&lt;&gt;"",H398&lt;&gt;""),G398*H398,"")</f>
        <v/>
      </c>
      <c r="J398" s="16">
        <f>IF(H398="","",IF(H398&lt;=250,"Liviana (0-250 kg)",IF(H398&lt;=1000,"Mediana (251-1000 kg)","Pesada (&gt;1000 kg)")))</f>
        <v/>
      </c>
    </row>
    <row r="399">
      <c r="I399" s="16">
        <f>IF(AND(G399&lt;&gt;"",H399&lt;&gt;""),G399*H399,"")</f>
        <v/>
      </c>
      <c r="J399" s="16">
        <f>IF(H399="","",IF(H399&lt;=250,"Liviana (0-250 kg)",IF(H399&lt;=1000,"Mediana (251-1000 kg)","Pesada (&gt;1000 kg)")))</f>
        <v/>
      </c>
    </row>
    <row r="400">
      <c r="I400" s="16">
        <f>IF(AND(G400&lt;&gt;"",H400&lt;&gt;""),G400*H400,"")</f>
        <v/>
      </c>
      <c r="J400" s="16">
        <f>IF(H400="","",IF(H400&lt;=250,"Liviana (0-250 kg)",IF(H400&lt;=1000,"Mediana (251-1000 kg)","Pesada (&gt;1000 kg)")))</f>
        <v/>
      </c>
    </row>
    <row r="401">
      <c r="I401" s="16">
        <f>IF(AND(G401&lt;&gt;"",H401&lt;&gt;""),G401*H401,"")</f>
        <v/>
      </c>
      <c r="J401" s="16">
        <f>IF(H401="","",IF(H401&lt;=250,"Liviana (0-250 kg)",IF(H401&lt;=1000,"Mediana (251-1000 kg)","Pesada (&gt;1000 kg)")))</f>
        <v/>
      </c>
    </row>
    <row r="402">
      <c r="I402" s="16">
        <f>IF(AND(G402&lt;&gt;"",H402&lt;&gt;""),G402*H402,"")</f>
        <v/>
      </c>
      <c r="J402" s="16">
        <f>IF(H402="","",IF(H402&lt;=250,"Liviana (0-250 kg)",IF(H402&lt;=1000,"Mediana (251-1000 kg)","Pesada (&gt;1000 kg)")))</f>
        <v/>
      </c>
    </row>
    <row r="403">
      <c r="I403" s="16">
        <f>IF(AND(G403&lt;&gt;"",H403&lt;&gt;""),G403*H403,"")</f>
        <v/>
      </c>
      <c r="J403" s="16">
        <f>IF(H403="","",IF(H403&lt;=250,"Liviana (0-250 kg)",IF(H403&lt;=1000,"Mediana (251-1000 kg)","Pesada (&gt;1000 kg)")))</f>
        <v/>
      </c>
    </row>
    <row r="404">
      <c r="I404" s="16">
        <f>IF(AND(G404&lt;&gt;"",H404&lt;&gt;""),G404*H404,"")</f>
        <v/>
      </c>
      <c r="J404" s="16">
        <f>IF(H404="","",IF(H404&lt;=250,"Liviana (0-250 kg)",IF(H404&lt;=1000,"Mediana (251-1000 kg)","Pesada (&gt;1000 kg)")))</f>
        <v/>
      </c>
    </row>
    <row r="405">
      <c r="I405" s="16">
        <f>IF(AND(G405&lt;&gt;"",H405&lt;&gt;""),G405*H405,"")</f>
        <v/>
      </c>
      <c r="J405" s="16">
        <f>IF(H405="","",IF(H405&lt;=250,"Liviana (0-250 kg)",IF(H405&lt;=1000,"Mediana (251-1000 kg)","Pesada (&gt;1000 kg)")))</f>
        <v/>
      </c>
    </row>
    <row r="406">
      <c r="I406" s="16">
        <f>IF(AND(G406&lt;&gt;"",H406&lt;&gt;""),G406*H406,"")</f>
        <v/>
      </c>
      <c r="J406" s="16">
        <f>IF(H406="","",IF(H406&lt;=250,"Liviana (0-250 kg)",IF(H406&lt;=1000,"Mediana (251-1000 kg)","Pesada (&gt;1000 kg)")))</f>
        <v/>
      </c>
    </row>
    <row r="407">
      <c r="I407" s="16">
        <f>IF(AND(G407&lt;&gt;"",H407&lt;&gt;""),G407*H407,"")</f>
        <v/>
      </c>
      <c r="J407" s="16">
        <f>IF(H407="","",IF(H407&lt;=250,"Liviana (0-250 kg)",IF(H407&lt;=1000,"Mediana (251-1000 kg)","Pesada (&gt;1000 kg)")))</f>
        <v/>
      </c>
    </row>
    <row r="408">
      <c r="I408" s="16">
        <f>IF(AND(G408&lt;&gt;"",H408&lt;&gt;""),G408*H408,"")</f>
        <v/>
      </c>
      <c r="J408" s="16">
        <f>IF(H408="","",IF(H408&lt;=250,"Liviana (0-250 kg)",IF(H408&lt;=1000,"Mediana (251-1000 kg)","Pesada (&gt;1000 kg)")))</f>
        <v/>
      </c>
    </row>
    <row r="409">
      <c r="I409" s="16">
        <f>IF(AND(G409&lt;&gt;"",H409&lt;&gt;""),G409*H409,"")</f>
        <v/>
      </c>
      <c r="J409" s="16">
        <f>IF(H409="","",IF(H409&lt;=250,"Liviana (0-250 kg)",IF(H409&lt;=1000,"Mediana (251-1000 kg)","Pesada (&gt;1000 kg)")))</f>
        <v/>
      </c>
    </row>
    <row r="410">
      <c r="I410" s="16">
        <f>IF(AND(G410&lt;&gt;"",H410&lt;&gt;""),G410*H410,"")</f>
        <v/>
      </c>
      <c r="J410" s="16">
        <f>IF(H410="","",IF(H410&lt;=250,"Liviana (0-250 kg)",IF(H410&lt;=1000,"Mediana (251-1000 kg)","Pesada (&gt;1000 kg)")))</f>
        <v/>
      </c>
    </row>
    <row r="411">
      <c r="I411" s="16">
        <f>IF(AND(G411&lt;&gt;"",H411&lt;&gt;""),G411*H411,"")</f>
        <v/>
      </c>
      <c r="J411" s="16">
        <f>IF(H411="","",IF(H411&lt;=250,"Liviana (0-250 kg)",IF(H411&lt;=1000,"Mediana (251-1000 kg)","Pesada (&gt;1000 kg)")))</f>
        <v/>
      </c>
    </row>
    <row r="412">
      <c r="I412" s="16">
        <f>IF(AND(G412&lt;&gt;"",H412&lt;&gt;""),G412*H412,"")</f>
        <v/>
      </c>
      <c r="J412" s="16">
        <f>IF(H412="","",IF(H412&lt;=250,"Liviana (0-250 kg)",IF(H412&lt;=1000,"Mediana (251-1000 kg)","Pesada (&gt;1000 kg)")))</f>
        <v/>
      </c>
    </row>
    <row r="413">
      <c r="I413" s="16">
        <f>IF(AND(G413&lt;&gt;"",H413&lt;&gt;""),G413*H413,"")</f>
        <v/>
      </c>
      <c r="J413" s="16">
        <f>IF(H413="","",IF(H413&lt;=250,"Liviana (0-250 kg)",IF(H413&lt;=1000,"Mediana (251-1000 kg)","Pesada (&gt;1000 kg)")))</f>
        <v/>
      </c>
    </row>
    <row r="414">
      <c r="I414" s="16">
        <f>IF(AND(G414&lt;&gt;"",H414&lt;&gt;""),G414*H414,"")</f>
        <v/>
      </c>
      <c r="J414" s="16">
        <f>IF(H414="","",IF(H414&lt;=250,"Liviana (0-250 kg)",IF(H414&lt;=1000,"Mediana (251-1000 kg)","Pesada (&gt;1000 kg)")))</f>
        <v/>
      </c>
    </row>
    <row r="415">
      <c r="I415" s="16">
        <f>IF(AND(G415&lt;&gt;"",H415&lt;&gt;""),G415*H415,"")</f>
        <v/>
      </c>
      <c r="J415" s="16">
        <f>IF(H415="","",IF(H415&lt;=250,"Liviana (0-250 kg)",IF(H415&lt;=1000,"Mediana (251-1000 kg)","Pesada (&gt;1000 kg)")))</f>
        <v/>
      </c>
    </row>
    <row r="416">
      <c r="I416" s="16">
        <f>IF(AND(G416&lt;&gt;"",H416&lt;&gt;""),G416*H416,"")</f>
        <v/>
      </c>
      <c r="J416" s="16">
        <f>IF(H416="","",IF(H416&lt;=250,"Liviana (0-250 kg)",IF(H416&lt;=1000,"Mediana (251-1000 kg)","Pesada (&gt;1000 kg)")))</f>
        <v/>
      </c>
    </row>
    <row r="417">
      <c r="I417" s="16">
        <f>IF(AND(G417&lt;&gt;"",H417&lt;&gt;""),G417*H417,"")</f>
        <v/>
      </c>
      <c r="J417" s="16">
        <f>IF(H417="","",IF(H417&lt;=250,"Liviana (0-250 kg)",IF(H417&lt;=1000,"Mediana (251-1000 kg)","Pesada (&gt;1000 kg)")))</f>
        <v/>
      </c>
    </row>
    <row r="418">
      <c r="I418" s="16">
        <f>IF(AND(G418&lt;&gt;"",H418&lt;&gt;""),G418*H418,"")</f>
        <v/>
      </c>
      <c r="J418" s="16">
        <f>IF(H418="","",IF(H418&lt;=250,"Liviana (0-250 kg)",IF(H418&lt;=1000,"Mediana (251-1000 kg)","Pesada (&gt;1000 kg)")))</f>
        <v/>
      </c>
    </row>
    <row r="419">
      <c r="I419" s="16">
        <f>IF(AND(G419&lt;&gt;"",H419&lt;&gt;""),G419*H419,"")</f>
        <v/>
      </c>
      <c r="J419" s="16">
        <f>IF(H419="","",IF(H419&lt;=250,"Liviana (0-250 kg)",IF(H419&lt;=1000,"Mediana (251-1000 kg)","Pesada (&gt;1000 kg)")))</f>
        <v/>
      </c>
    </row>
    <row r="420">
      <c r="I420" s="16">
        <f>IF(AND(G420&lt;&gt;"",H420&lt;&gt;""),G420*H420,"")</f>
        <v/>
      </c>
      <c r="J420" s="16">
        <f>IF(H420="","",IF(H420&lt;=250,"Liviana (0-250 kg)",IF(H420&lt;=1000,"Mediana (251-1000 kg)","Pesada (&gt;1000 kg)")))</f>
        <v/>
      </c>
    </row>
    <row r="421">
      <c r="I421" s="16">
        <f>IF(AND(G421&lt;&gt;"",H421&lt;&gt;""),G421*H421,"")</f>
        <v/>
      </c>
      <c r="J421" s="16">
        <f>IF(H421="","",IF(H421&lt;=250,"Liviana (0-250 kg)",IF(H421&lt;=1000,"Mediana (251-1000 kg)","Pesada (&gt;1000 kg)")))</f>
        <v/>
      </c>
    </row>
    <row r="422">
      <c r="I422" s="16">
        <f>IF(AND(G422&lt;&gt;"",H422&lt;&gt;""),G422*H422,"")</f>
        <v/>
      </c>
      <c r="J422" s="16">
        <f>IF(H422="","",IF(H422&lt;=250,"Liviana (0-250 kg)",IF(H422&lt;=1000,"Mediana (251-1000 kg)","Pesada (&gt;1000 kg)")))</f>
        <v/>
      </c>
    </row>
    <row r="423">
      <c r="I423" s="16">
        <f>IF(AND(G423&lt;&gt;"",H423&lt;&gt;""),G423*H423,"")</f>
        <v/>
      </c>
      <c r="J423" s="16">
        <f>IF(H423="","",IF(H423&lt;=250,"Liviana (0-250 kg)",IF(H423&lt;=1000,"Mediana (251-1000 kg)","Pesada (&gt;1000 kg)")))</f>
        <v/>
      </c>
    </row>
    <row r="424">
      <c r="I424" s="16">
        <f>IF(AND(G424&lt;&gt;"",H424&lt;&gt;""),G424*H424,"")</f>
        <v/>
      </c>
      <c r="J424" s="16">
        <f>IF(H424="","",IF(H424&lt;=250,"Liviana (0-250 kg)",IF(H424&lt;=1000,"Mediana (251-1000 kg)","Pesada (&gt;1000 kg)")))</f>
        <v/>
      </c>
    </row>
    <row r="425">
      <c r="I425" s="16">
        <f>IF(AND(G425&lt;&gt;"",H425&lt;&gt;""),G425*H425,"")</f>
        <v/>
      </c>
      <c r="J425" s="16">
        <f>IF(H425="","",IF(H425&lt;=250,"Liviana (0-250 kg)",IF(H425&lt;=1000,"Mediana (251-1000 kg)","Pesada (&gt;1000 kg)")))</f>
        <v/>
      </c>
    </row>
    <row r="426">
      <c r="I426" s="16">
        <f>IF(AND(G426&lt;&gt;"",H426&lt;&gt;""),G426*H426,"")</f>
        <v/>
      </c>
      <c r="J426" s="16">
        <f>IF(H426="","",IF(H426&lt;=250,"Liviana (0-250 kg)",IF(H426&lt;=1000,"Mediana (251-1000 kg)","Pesada (&gt;1000 kg)")))</f>
        <v/>
      </c>
    </row>
    <row r="427">
      <c r="I427" s="16">
        <f>IF(AND(G427&lt;&gt;"",H427&lt;&gt;""),G427*H427,"")</f>
        <v/>
      </c>
      <c r="J427" s="16">
        <f>IF(H427="","",IF(H427&lt;=250,"Liviana (0-250 kg)",IF(H427&lt;=1000,"Mediana (251-1000 kg)","Pesada (&gt;1000 kg)")))</f>
        <v/>
      </c>
    </row>
    <row r="428">
      <c r="I428" s="16">
        <f>IF(AND(G428&lt;&gt;"",H428&lt;&gt;""),G428*H428,"")</f>
        <v/>
      </c>
      <c r="J428" s="16">
        <f>IF(H428="","",IF(H428&lt;=250,"Liviana (0-250 kg)",IF(H428&lt;=1000,"Mediana (251-1000 kg)","Pesada (&gt;1000 kg)")))</f>
        <v/>
      </c>
    </row>
    <row r="429">
      <c r="I429" s="16">
        <f>IF(AND(G429&lt;&gt;"",H429&lt;&gt;""),G429*H429,"")</f>
        <v/>
      </c>
      <c r="J429" s="16">
        <f>IF(H429="","",IF(H429&lt;=250,"Liviana (0-250 kg)",IF(H429&lt;=1000,"Mediana (251-1000 kg)","Pesada (&gt;1000 kg)")))</f>
        <v/>
      </c>
    </row>
    <row r="430">
      <c r="I430" s="16">
        <f>IF(AND(G430&lt;&gt;"",H430&lt;&gt;""),G430*H430,"")</f>
        <v/>
      </c>
      <c r="J430" s="16">
        <f>IF(H430="","",IF(H430&lt;=250,"Liviana (0-250 kg)",IF(H430&lt;=1000,"Mediana (251-1000 kg)","Pesada (&gt;1000 kg)")))</f>
        <v/>
      </c>
    </row>
    <row r="431">
      <c r="I431" s="16">
        <f>IF(AND(G431&lt;&gt;"",H431&lt;&gt;""),G431*H431,"")</f>
        <v/>
      </c>
      <c r="J431" s="16">
        <f>IF(H431="","",IF(H431&lt;=250,"Liviana (0-250 kg)",IF(H431&lt;=1000,"Mediana (251-1000 kg)","Pesada (&gt;1000 kg)")))</f>
        <v/>
      </c>
    </row>
    <row r="432">
      <c r="I432" s="16">
        <f>IF(AND(G432&lt;&gt;"",H432&lt;&gt;""),G432*H432,"")</f>
        <v/>
      </c>
      <c r="J432" s="16">
        <f>IF(H432="","",IF(H432&lt;=250,"Liviana (0-250 kg)",IF(H432&lt;=1000,"Mediana (251-1000 kg)","Pesada (&gt;1000 kg)")))</f>
        <v/>
      </c>
    </row>
    <row r="433">
      <c r="I433" s="16">
        <f>IF(AND(G433&lt;&gt;"",H433&lt;&gt;""),G433*H433,"")</f>
        <v/>
      </c>
      <c r="J433" s="16">
        <f>IF(H433="","",IF(H433&lt;=250,"Liviana (0-250 kg)",IF(H433&lt;=1000,"Mediana (251-1000 kg)","Pesada (&gt;1000 kg)")))</f>
        <v/>
      </c>
    </row>
    <row r="434">
      <c r="I434" s="16">
        <f>IF(AND(G434&lt;&gt;"",H434&lt;&gt;""),G434*H434,"")</f>
        <v/>
      </c>
      <c r="J434" s="16">
        <f>IF(H434="","",IF(H434&lt;=250,"Liviana (0-250 kg)",IF(H434&lt;=1000,"Mediana (251-1000 kg)","Pesada (&gt;1000 kg)")))</f>
        <v/>
      </c>
    </row>
    <row r="435">
      <c r="I435" s="16">
        <f>IF(AND(G435&lt;&gt;"",H435&lt;&gt;""),G435*H435,"")</f>
        <v/>
      </c>
      <c r="J435" s="16">
        <f>IF(H435="","",IF(H435&lt;=250,"Liviana (0-250 kg)",IF(H435&lt;=1000,"Mediana (251-1000 kg)","Pesada (&gt;1000 kg)")))</f>
        <v/>
      </c>
    </row>
    <row r="436">
      <c r="I436" s="16">
        <f>IF(AND(G436&lt;&gt;"",H436&lt;&gt;""),G436*H436,"")</f>
        <v/>
      </c>
      <c r="J436" s="16">
        <f>IF(H436="","",IF(H436&lt;=250,"Liviana (0-250 kg)",IF(H436&lt;=1000,"Mediana (251-1000 kg)","Pesada (&gt;1000 kg)")))</f>
        <v/>
      </c>
    </row>
    <row r="437">
      <c r="I437" s="16">
        <f>IF(AND(G437&lt;&gt;"",H437&lt;&gt;""),G437*H437,"")</f>
        <v/>
      </c>
      <c r="J437" s="16">
        <f>IF(H437="","",IF(H437&lt;=250,"Liviana (0-250 kg)",IF(H437&lt;=1000,"Mediana (251-1000 kg)","Pesada (&gt;1000 kg)")))</f>
        <v/>
      </c>
    </row>
    <row r="438">
      <c r="I438" s="16">
        <f>IF(AND(G438&lt;&gt;"",H438&lt;&gt;""),G438*H438,"")</f>
        <v/>
      </c>
      <c r="J438" s="16">
        <f>IF(H438="","",IF(H438&lt;=250,"Liviana (0-250 kg)",IF(H438&lt;=1000,"Mediana (251-1000 kg)","Pesada (&gt;1000 kg)")))</f>
        <v/>
      </c>
    </row>
    <row r="439">
      <c r="I439" s="16">
        <f>IF(AND(G439&lt;&gt;"",H439&lt;&gt;""),G439*H439,"")</f>
        <v/>
      </c>
      <c r="J439" s="16">
        <f>IF(H439="","",IF(H439&lt;=250,"Liviana (0-250 kg)",IF(H439&lt;=1000,"Mediana (251-1000 kg)","Pesada (&gt;1000 kg)")))</f>
        <v/>
      </c>
    </row>
    <row r="440">
      <c r="I440" s="16">
        <f>IF(AND(G440&lt;&gt;"",H440&lt;&gt;""),G440*H440,"")</f>
        <v/>
      </c>
      <c r="J440" s="16">
        <f>IF(H440="","",IF(H440&lt;=250,"Liviana (0-250 kg)",IF(H440&lt;=1000,"Mediana (251-1000 kg)","Pesada (&gt;1000 kg)")))</f>
        <v/>
      </c>
    </row>
    <row r="441">
      <c r="I441" s="16">
        <f>IF(AND(G441&lt;&gt;"",H441&lt;&gt;""),G441*H441,"")</f>
        <v/>
      </c>
      <c r="J441" s="16">
        <f>IF(H441="","",IF(H441&lt;=250,"Liviana (0-250 kg)",IF(H441&lt;=1000,"Mediana (251-1000 kg)","Pesada (&gt;1000 kg)")))</f>
        <v/>
      </c>
    </row>
    <row r="442">
      <c r="I442" s="16">
        <f>IF(AND(G442&lt;&gt;"",H442&lt;&gt;""),G442*H442,"")</f>
        <v/>
      </c>
      <c r="J442" s="16">
        <f>IF(H442="","",IF(H442&lt;=250,"Liviana (0-250 kg)",IF(H442&lt;=1000,"Mediana (251-1000 kg)","Pesada (&gt;1000 kg)")))</f>
        <v/>
      </c>
    </row>
    <row r="443">
      <c r="I443" s="16">
        <f>IF(AND(G443&lt;&gt;"",H443&lt;&gt;""),G443*H443,"")</f>
        <v/>
      </c>
      <c r="J443" s="16">
        <f>IF(H443="","",IF(H443&lt;=250,"Liviana (0-250 kg)",IF(H443&lt;=1000,"Mediana (251-1000 kg)","Pesada (&gt;1000 kg)")))</f>
        <v/>
      </c>
    </row>
    <row r="444">
      <c r="I444" s="16">
        <f>IF(AND(G444&lt;&gt;"",H444&lt;&gt;""),G444*H444,"")</f>
        <v/>
      </c>
      <c r="J444" s="16">
        <f>IF(H444="","",IF(H444&lt;=250,"Liviana (0-250 kg)",IF(H444&lt;=1000,"Mediana (251-1000 kg)","Pesada (&gt;1000 kg)")))</f>
        <v/>
      </c>
    </row>
    <row r="445">
      <c r="I445" s="16">
        <f>IF(AND(G445&lt;&gt;"",H445&lt;&gt;""),G445*H445,"")</f>
        <v/>
      </c>
      <c r="J445" s="16">
        <f>IF(H445="","",IF(H445&lt;=250,"Liviana (0-250 kg)",IF(H445&lt;=1000,"Mediana (251-1000 kg)","Pesada (&gt;1000 kg)")))</f>
        <v/>
      </c>
    </row>
    <row r="446">
      <c r="I446" s="16">
        <f>IF(AND(G446&lt;&gt;"",H446&lt;&gt;""),G446*H446,"")</f>
        <v/>
      </c>
      <c r="J446" s="16">
        <f>IF(H446="","",IF(H446&lt;=250,"Liviana (0-250 kg)",IF(H446&lt;=1000,"Mediana (251-1000 kg)","Pesada (&gt;1000 kg)")))</f>
        <v/>
      </c>
    </row>
    <row r="447">
      <c r="I447" s="16">
        <f>IF(AND(G447&lt;&gt;"",H447&lt;&gt;""),G447*H447,"")</f>
        <v/>
      </c>
      <c r="J447" s="16">
        <f>IF(H447="","",IF(H447&lt;=250,"Liviana (0-250 kg)",IF(H447&lt;=1000,"Mediana (251-1000 kg)","Pesada (&gt;1000 kg)")))</f>
        <v/>
      </c>
    </row>
    <row r="448">
      <c r="I448" s="16">
        <f>IF(AND(G448&lt;&gt;"",H448&lt;&gt;""),G448*H448,"")</f>
        <v/>
      </c>
      <c r="J448" s="16">
        <f>IF(H448="","",IF(H448&lt;=250,"Liviana (0-250 kg)",IF(H448&lt;=1000,"Mediana (251-1000 kg)","Pesada (&gt;1000 kg)")))</f>
        <v/>
      </c>
    </row>
    <row r="449">
      <c r="I449" s="16">
        <f>IF(AND(G449&lt;&gt;"",H449&lt;&gt;""),G449*H449,"")</f>
        <v/>
      </c>
      <c r="J449" s="16">
        <f>IF(H449="","",IF(H449&lt;=250,"Liviana (0-250 kg)",IF(H449&lt;=1000,"Mediana (251-1000 kg)","Pesada (&gt;1000 kg)")))</f>
        <v/>
      </c>
    </row>
    <row r="450">
      <c r="I450" s="16">
        <f>IF(AND(G450&lt;&gt;"",H450&lt;&gt;""),G450*H450,"")</f>
        <v/>
      </c>
      <c r="J450" s="16">
        <f>IF(H450="","",IF(H450&lt;=250,"Liviana (0-250 kg)",IF(H450&lt;=1000,"Mediana (251-1000 kg)","Pesada (&gt;1000 kg)")))</f>
        <v/>
      </c>
    </row>
    <row r="451">
      <c r="I451" s="16">
        <f>IF(AND(G451&lt;&gt;"",H451&lt;&gt;""),G451*H451,"")</f>
        <v/>
      </c>
      <c r="J451" s="16">
        <f>IF(H451="","",IF(H451&lt;=250,"Liviana (0-250 kg)",IF(H451&lt;=1000,"Mediana (251-1000 kg)","Pesada (&gt;1000 kg)")))</f>
        <v/>
      </c>
    </row>
    <row r="452">
      <c r="I452" s="16">
        <f>IF(AND(G452&lt;&gt;"",H452&lt;&gt;""),G452*H452,"")</f>
        <v/>
      </c>
      <c r="J452" s="16">
        <f>IF(H452="","",IF(H452&lt;=250,"Liviana (0-250 kg)",IF(H452&lt;=1000,"Mediana (251-1000 kg)","Pesada (&gt;1000 kg)")))</f>
        <v/>
      </c>
    </row>
    <row r="453">
      <c r="I453" s="16">
        <f>IF(AND(G453&lt;&gt;"",H453&lt;&gt;""),G453*H453,"")</f>
        <v/>
      </c>
      <c r="J453" s="16">
        <f>IF(H453="","",IF(H453&lt;=250,"Liviana (0-250 kg)",IF(H453&lt;=1000,"Mediana (251-1000 kg)","Pesada (&gt;1000 kg)")))</f>
        <v/>
      </c>
    </row>
    <row r="454">
      <c r="I454" s="16">
        <f>IF(AND(G454&lt;&gt;"",H454&lt;&gt;""),G454*H454,"")</f>
        <v/>
      </c>
      <c r="J454" s="16">
        <f>IF(H454="","",IF(H454&lt;=250,"Liviana (0-250 kg)",IF(H454&lt;=1000,"Mediana (251-1000 kg)","Pesada (&gt;1000 kg)")))</f>
        <v/>
      </c>
    </row>
    <row r="455">
      <c r="I455" s="16">
        <f>IF(AND(G455&lt;&gt;"",H455&lt;&gt;""),G455*H455,"")</f>
        <v/>
      </c>
      <c r="J455" s="16">
        <f>IF(H455="","",IF(H455&lt;=250,"Liviana (0-250 kg)",IF(H455&lt;=1000,"Mediana (251-1000 kg)","Pesada (&gt;1000 kg)")))</f>
        <v/>
      </c>
    </row>
    <row r="456">
      <c r="I456" s="16">
        <f>IF(AND(G456&lt;&gt;"",H456&lt;&gt;""),G456*H456,"")</f>
        <v/>
      </c>
      <c r="J456" s="16">
        <f>IF(H456="","",IF(H456&lt;=250,"Liviana (0-250 kg)",IF(H456&lt;=1000,"Mediana (251-1000 kg)","Pesada (&gt;1000 kg)")))</f>
        <v/>
      </c>
    </row>
    <row r="457">
      <c r="I457" s="16">
        <f>IF(AND(G457&lt;&gt;"",H457&lt;&gt;""),G457*H457,"")</f>
        <v/>
      </c>
      <c r="J457" s="16">
        <f>IF(H457="","",IF(H457&lt;=250,"Liviana (0-250 kg)",IF(H457&lt;=1000,"Mediana (251-1000 kg)","Pesada (&gt;1000 kg)")))</f>
        <v/>
      </c>
    </row>
    <row r="458">
      <c r="I458" s="16">
        <f>IF(AND(G458&lt;&gt;"",H458&lt;&gt;""),G458*H458,"")</f>
        <v/>
      </c>
      <c r="J458" s="16">
        <f>IF(H458="","",IF(H458&lt;=250,"Liviana (0-250 kg)",IF(H458&lt;=1000,"Mediana (251-1000 kg)","Pesada (&gt;1000 kg)")))</f>
        <v/>
      </c>
    </row>
    <row r="459">
      <c r="I459" s="16">
        <f>IF(AND(G459&lt;&gt;"",H459&lt;&gt;""),G459*H459,"")</f>
        <v/>
      </c>
      <c r="J459" s="16">
        <f>IF(H459="","",IF(H459&lt;=250,"Liviana (0-250 kg)",IF(H459&lt;=1000,"Mediana (251-1000 kg)","Pesada (&gt;1000 kg)")))</f>
        <v/>
      </c>
    </row>
    <row r="460">
      <c r="I460" s="16">
        <f>IF(AND(G460&lt;&gt;"",H460&lt;&gt;""),G460*H460,"")</f>
        <v/>
      </c>
      <c r="J460" s="16">
        <f>IF(H460="","",IF(H460&lt;=250,"Liviana (0-250 kg)",IF(H460&lt;=1000,"Mediana (251-1000 kg)","Pesada (&gt;1000 kg)")))</f>
        <v/>
      </c>
    </row>
    <row r="461">
      <c r="I461" s="16">
        <f>IF(AND(G461&lt;&gt;"",H461&lt;&gt;""),G461*H461,"")</f>
        <v/>
      </c>
      <c r="J461" s="16">
        <f>IF(H461="","",IF(H461&lt;=250,"Liviana (0-250 kg)",IF(H461&lt;=1000,"Mediana (251-1000 kg)","Pesada (&gt;1000 kg)")))</f>
        <v/>
      </c>
    </row>
    <row r="462">
      <c r="I462" s="16">
        <f>IF(AND(G462&lt;&gt;"",H462&lt;&gt;""),G462*H462,"")</f>
        <v/>
      </c>
      <c r="J462" s="16">
        <f>IF(H462="","",IF(H462&lt;=250,"Liviana (0-250 kg)",IF(H462&lt;=1000,"Mediana (251-1000 kg)","Pesada (&gt;1000 kg)")))</f>
        <v/>
      </c>
    </row>
    <row r="463">
      <c r="I463" s="16">
        <f>IF(AND(G463&lt;&gt;"",H463&lt;&gt;""),G463*H463,"")</f>
        <v/>
      </c>
      <c r="J463" s="16">
        <f>IF(H463="","",IF(H463&lt;=250,"Liviana (0-250 kg)",IF(H463&lt;=1000,"Mediana (251-1000 kg)","Pesada (&gt;1000 kg)")))</f>
        <v/>
      </c>
    </row>
    <row r="464">
      <c r="I464" s="16">
        <f>IF(AND(G464&lt;&gt;"",H464&lt;&gt;""),G464*H464,"")</f>
        <v/>
      </c>
      <c r="J464" s="16">
        <f>IF(H464="","",IF(H464&lt;=250,"Liviana (0-250 kg)",IF(H464&lt;=1000,"Mediana (251-1000 kg)","Pesada (&gt;1000 kg)")))</f>
        <v/>
      </c>
    </row>
    <row r="465">
      <c r="I465" s="16">
        <f>IF(AND(G465&lt;&gt;"",H465&lt;&gt;""),G465*H465,"")</f>
        <v/>
      </c>
      <c r="J465" s="16">
        <f>IF(H465="","",IF(H465&lt;=250,"Liviana (0-250 kg)",IF(H465&lt;=1000,"Mediana (251-1000 kg)","Pesada (&gt;1000 kg)")))</f>
        <v/>
      </c>
    </row>
    <row r="466">
      <c r="I466" s="16">
        <f>IF(AND(G466&lt;&gt;"",H466&lt;&gt;""),G466*H466,"")</f>
        <v/>
      </c>
      <c r="J466" s="16">
        <f>IF(H466="","",IF(H466&lt;=250,"Liviana (0-250 kg)",IF(H466&lt;=1000,"Mediana (251-1000 kg)","Pesada (&gt;1000 kg)")))</f>
        <v/>
      </c>
    </row>
    <row r="467">
      <c r="I467" s="16">
        <f>IF(AND(G467&lt;&gt;"",H467&lt;&gt;""),G467*H467,"")</f>
        <v/>
      </c>
      <c r="J467" s="16">
        <f>IF(H467="","",IF(H467&lt;=250,"Liviana (0-250 kg)",IF(H467&lt;=1000,"Mediana (251-1000 kg)","Pesada (&gt;1000 kg)")))</f>
        <v/>
      </c>
    </row>
    <row r="468">
      <c r="I468" s="16">
        <f>IF(AND(G468&lt;&gt;"",H468&lt;&gt;""),G468*H468,"")</f>
        <v/>
      </c>
      <c r="J468" s="16">
        <f>IF(H468="","",IF(H468&lt;=250,"Liviana (0-250 kg)",IF(H468&lt;=1000,"Mediana (251-1000 kg)","Pesada (&gt;1000 kg)")))</f>
        <v/>
      </c>
    </row>
    <row r="469">
      <c r="I469" s="16">
        <f>IF(AND(G469&lt;&gt;"",H469&lt;&gt;""),G469*H469,"")</f>
        <v/>
      </c>
      <c r="J469" s="16">
        <f>IF(H469="","",IF(H469&lt;=250,"Liviana (0-250 kg)",IF(H469&lt;=1000,"Mediana (251-1000 kg)","Pesada (&gt;1000 kg)")))</f>
        <v/>
      </c>
    </row>
    <row r="470">
      <c r="I470" s="16">
        <f>IF(AND(G470&lt;&gt;"",H470&lt;&gt;""),G470*H470,"")</f>
        <v/>
      </c>
      <c r="J470" s="16">
        <f>IF(H470="","",IF(H470&lt;=250,"Liviana (0-250 kg)",IF(H470&lt;=1000,"Mediana (251-1000 kg)","Pesada (&gt;1000 kg)")))</f>
        <v/>
      </c>
    </row>
    <row r="471">
      <c r="I471" s="16">
        <f>IF(AND(G471&lt;&gt;"",H471&lt;&gt;""),G471*H471,"")</f>
        <v/>
      </c>
      <c r="J471" s="16">
        <f>IF(H471="","",IF(H471&lt;=250,"Liviana (0-250 kg)",IF(H471&lt;=1000,"Mediana (251-1000 kg)","Pesada (&gt;1000 kg)")))</f>
        <v/>
      </c>
    </row>
    <row r="472">
      <c r="I472" s="16">
        <f>IF(AND(G472&lt;&gt;"",H472&lt;&gt;""),G472*H472,"")</f>
        <v/>
      </c>
      <c r="J472" s="16">
        <f>IF(H472="","",IF(H472&lt;=250,"Liviana (0-250 kg)",IF(H472&lt;=1000,"Mediana (251-1000 kg)","Pesada (&gt;1000 kg)")))</f>
        <v/>
      </c>
    </row>
    <row r="473">
      <c r="I473" s="16">
        <f>IF(AND(G473&lt;&gt;"",H473&lt;&gt;""),G473*H473,"")</f>
        <v/>
      </c>
      <c r="J473" s="16">
        <f>IF(H473="","",IF(H473&lt;=250,"Liviana (0-250 kg)",IF(H473&lt;=1000,"Mediana (251-1000 kg)","Pesada (&gt;1000 kg)")))</f>
        <v/>
      </c>
    </row>
    <row r="474">
      <c r="I474" s="16">
        <f>IF(AND(G474&lt;&gt;"",H474&lt;&gt;""),G474*H474,"")</f>
        <v/>
      </c>
      <c r="J474" s="16">
        <f>IF(H474="","",IF(H474&lt;=250,"Liviana (0-250 kg)",IF(H474&lt;=1000,"Mediana (251-1000 kg)","Pesada (&gt;1000 kg)")))</f>
        <v/>
      </c>
    </row>
    <row r="475">
      <c r="I475" s="16">
        <f>IF(AND(G475&lt;&gt;"",H475&lt;&gt;""),G475*H475,"")</f>
        <v/>
      </c>
      <c r="J475" s="16">
        <f>IF(H475="","",IF(H475&lt;=250,"Liviana (0-250 kg)",IF(H475&lt;=1000,"Mediana (251-1000 kg)","Pesada (&gt;1000 kg)")))</f>
        <v/>
      </c>
    </row>
    <row r="476">
      <c r="I476" s="16">
        <f>IF(AND(G476&lt;&gt;"",H476&lt;&gt;""),G476*H476,"")</f>
        <v/>
      </c>
      <c r="J476" s="16">
        <f>IF(H476="","",IF(H476&lt;=250,"Liviana (0-250 kg)",IF(H476&lt;=1000,"Mediana (251-1000 kg)","Pesada (&gt;1000 kg)")))</f>
        <v/>
      </c>
    </row>
    <row r="477">
      <c r="I477" s="16">
        <f>IF(AND(G477&lt;&gt;"",H477&lt;&gt;""),G477*H477,"")</f>
        <v/>
      </c>
      <c r="J477" s="16">
        <f>IF(H477="","",IF(H477&lt;=250,"Liviana (0-250 kg)",IF(H477&lt;=1000,"Mediana (251-1000 kg)","Pesada (&gt;1000 kg)")))</f>
        <v/>
      </c>
    </row>
    <row r="478">
      <c r="I478" s="16">
        <f>IF(AND(G478&lt;&gt;"",H478&lt;&gt;""),G478*H478,"")</f>
        <v/>
      </c>
      <c r="J478" s="16">
        <f>IF(H478="","",IF(H478&lt;=250,"Liviana (0-250 kg)",IF(H478&lt;=1000,"Mediana (251-1000 kg)","Pesada (&gt;1000 kg)")))</f>
        <v/>
      </c>
    </row>
    <row r="479">
      <c r="I479" s="16">
        <f>IF(AND(G479&lt;&gt;"",H479&lt;&gt;""),G479*H479,"")</f>
        <v/>
      </c>
      <c r="J479" s="16">
        <f>IF(H479="","",IF(H479&lt;=250,"Liviana (0-250 kg)",IF(H479&lt;=1000,"Mediana (251-1000 kg)","Pesada (&gt;1000 kg)")))</f>
        <v/>
      </c>
    </row>
    <row r="480">
      <c r="I480" s="16">
        <f>IF(AND(G480&lt;&gt;"",H480&lt;&gt;""),G480*H480,"")</f>
        <v/>
      </c>
      <c r="J480" s="16">
        <f>IF(H480="","",IF(H480&lt;=250,"Liviana (0-250 kg)",IF(H480&lt;=1000,"Mediana (251-1000 kg)","Pesada (&gt;1000 kg)")))</f>
        <v/>
      </c>
    </row>
    <row r="481">
      <c r="I481" s="16">
        <f>IF(AND(G481&lt;&gt;"",H481&lt;&gt;""),G481*H481,"")</f>
        <v/>
      </c>
      <c r="J481" s="16">
        <f>IF(H481="","",IF(H481&lt;=250,"Liviana (0-250 kg)",IF(H481&lt;=1000,"Mediana (251-1000 kg)","Pesada (&gt;1000 kg)")))</f>
        <v/>
      </c>
    </row>
    <row r="482">
      <c r="I482" s="16">
        <f>IF(AND(G482&lt;&gt;"",H482&lt;&gt;""),G482*H482,"")</f>
        <v/>
      </c>
      <c r="J482" s="16">
        <f>IF(H482="","",IF(H482&lt;=250,"Liviana (0-250 kg)",IF(H482&lt;=1000,"Mediana (251-1000 kg)","Pesada (&gt;1000 kg)")))</f>
        <v/>
      </c>
    </row>
    <row r="483">
      <c r="I483" s="16">
        <f>IF(AND(G483&lt;&gt;"",H483&lt;&gt;""),G483*H483,"")</f>
        <v/>
      </c>
      <c r="J483" s="16">
        <f>IF(H483="","",IF(H483&lt;=250,"Liviana (0-250 kg)",IF(H483&lt;=1000,"Mediana (251-1000 kg)","Pesada (&gt;1000 kg)")))</f>
        <v/>
      </c>
    </row>
    <row r="484">
      <c r="I484" s="16">
        <f>IF(AND(G484&lt;&gt;"",H484&lt;&gt;""),G484*H484,"")</f>
        <v/>
      </c>
      <c r="J484" s="16">
        <f>IF(H484="","",IF(H484&lt;=250,"Liviana (0-250 kg)",IF(H484&lt;=1000,"Mediana (251-1000 kg)","Pesada (&gt;1000 kg)")))</f>
        <v/>
      </c>
    </row>
    <row r="485">
      <c r="I485" s="16">
        <f>IF(AND(G485&lt;&gt;"",H485&lt;&gt;""),G485*H485,"")</f>
        <v/>
      </c>
      <c r="J485" s="16">
        <f>IF(H485="","",IF(H485&lt;=250,"Liviana (0-250 kg)",IF(H485&lt;=1000,"Mediana (251-1000 kg)","Pesada (&gt;1000 kg)")))</f>
        <v/>
      </c>
    </row>
    <row r="486">
      <c r="I486" s="16">
        <f>IF(AND(G486&lt;&gt;"",H486&lt;&gt;""),G486*H486,"")</f>
        <v/>
      </c>
      <c r="J486" s="16">
        <f>IF(H486="","",IF(H486&lt;=250,"Liviana (0-250 kg)",IF(H486&lt;=1000,"Mediana (251-1000 kg)","Pesada (&gt;1000 kg)")))</f>
        <v/>
      </c>
    </row>
    <row r="487">
      <c r="I487" s="16">
        <f>IF(AND(G487&lt;&gt;"",H487&lt;&gt;""),G487*H487,"")</f>
        <v/>
      </c>
      <c r="J487" s="16">
        <f>IF(H487="","",IF(H487&lt;=250,"Liviana (0-250 kg)",IF(H487&lt;=1000,"Mediana (251-1000 kg)","Pesada (&gt;1000 kg)")))</f>
        <v/>
      </c>
    </row>
    <row r="488">
      <c r="I488" s="16">
        <f>IF(AND(G488&lt;&gt;"",H488&lt;&gt;""),G488*H488,"")</f>
        <v/>
      </c>
      <c r="J488" s="16">
        <f>IF(H488="","",IF(H488&lt;=250,"Liviana (0-250 kg)",IF(H488&lt;=1000,"Mediana (251-1000 kg)","Pesada (&gt;1000 kg)")))</f>
        <v/>
      </c>
    </row>
    <row r="489">
      <c r="I489" s="16">
        <f>IF(AND(G489&lt;&gt;"",H489&lt;&gt;""),G489*H489,"")</f>
        <v/>
      </c>
      <c r="J489" s="16">
        <f>IF(H489="","",IF(H489&lt;=250,"Liviana (0-250 kg)",IF(H489&lt;=1000,"Mediana (251-1000 kg)","Pesada (&gt;1000 kg)")))</f>
        <v/>
      </c>
    </row>
    <row r="490">
      <c r="I490" s="16">
        <f>IF(AND(G490&lt;&gt;"",H490&lt;&gt;""),G490*H490,"")</f>
        <v/>
      </c>
      <c r="J490" s="16">
        <f>IF(H490="","",IF(H490&lt;=250,"Liviana (0-250 kg)",IF(H490&lt;=1000,"Mediana (251-1000 kg)","Pesada (&gt;1000 kg)")))</f>
        <v/>
      </c>
    </row>
    <row r="491">
      <c r="I491" s="16">
        <f>IF(AND(G491&lt;&gt;"",H491&lt;&gt;""),G491*H491,"")</f>
        <v/>
      </c>
      <c r="J491" s="16">
        <f>IF(H491="","",IF(H491&lt;=250,"Liviana (0-250 kg)",IF(H491&lt;=1000,"Mediana (251-1000 kg)","Pesada (&gt;1000 kg)")))</f>
        <v/>
      </c>
    </row>
    <row r="492">
      <c r="I492" s="16">
        <f>IF(AND(G492&lt;&gt;"",H492&lt;&gt;""),G492*H492,"")</f>
        <v/>
      </c>
      <c r="J492" s="16">
        <f>IF(H492="","",IF(H492&lt;=250,"Liviana (0-250 kg)",IF(H492&lt;=1000,"Mediana (251-1000 kg)","Pesada (&gt;1000 kg)")))</f>
        <v/>
      </c>
    </row>
    <row r="493">
      <c r="I493" s="16">
        <f>IF(AND(G493&lt;&gt;"",H493&lt;&gt;""),G493*H493,"")</f>
        <v/>
      </c>
      <c r="J493" s="16">
        <f>IF(H493="","",IF(H493&lt;=250,"Liviana (0-250 kg)",IF(H493&lt;=1000,"Mediana (251-1000 kg)","Pesada (&gt;1000 kg)")))</f>
        <v/>
      </c>
    </row>
    <row r="494">
      <c r="I494" s="16">
        <f>IF(AND(G494&lt;&gt;"",H494&lt;&gt;""),G494*H494,"")</f>
        <v/>
      </c>
      <c r="J494" s="16">
        <f>IF(H494="","",IF(H494&lt;=250,"Liviana (0-250 kg)",IF(H494&lt;=1000,"Mediana (251-1000 kg)","Pesada (&gt;1000 kg)")))</f>
        <v/>
      </c>
    </row>
    <row r="495">
      <c r="I495" s="16">
        <f>IF(AND(G495&lt;&gt;"",H495&lt;&gt;""),G495*H495,"")</f>
        <v/>
      </c>
      <c r="J495" s="16">
        <f>IF(H495="","",IF(H495&lt;=250,"Liviana (0-250 kg)",IF(H495&lt;=1000,"Mediana (251-1000 kg)","Pesada (&gt;1000 kg)")))</f>
        <v/>
      </c>
    </row>
    <row r="496">
      <c r="I496" s="16">
        <f>IF(AND(G496&lt;&gt;"",H496&lt;&gt;""),G496*H496,"")</f>
        <v/>
      </c>
      <c r="J496" s="16">
        <f>IF(H496="","",IF(H496&lt;=250,"Liviana (0-250 kg)",IF(H496&lt;=1000,"Mediana (251-1000 kg)","Pesada (&gt;1000 kg)")))</f>
        <v/>
      </c>
    </row>
    <row r="497">
      <c r="I497" s="16">
        <f>IF(AND(G497&lt;&gt;"",H497&lt;&gt;""),G497*H497,"")</f>
        <v/>
      </c>
      <c r="J497" s="16">
        <f>IF(H497="","",IF(H497&lt;=250,"Liviana (0-250 kg)",IF(H497&lt;=1000,"Mediana (251-1000 kg)","Pesada (&gt;1000 kg)")))</f>
        <v/>
      </c>
    </row>
    <row r="498">
      <c r="I498" s="16">
        <f>IF(AND(G498&lt;&gt;"",H498&lt;&gt;""),G498*H498,"")</f>
        <v/>
      </c>
      <c r="J498" s="16">
        <f>IF(H498="","",IF(H498&lt;=250,"Liviana (0-250 kg)",IF(H498&lt;=1000,"Mediana (251-1000 kg)","Pesada (&gt;1000 kg)")))</f>
        <v/>
      </c>
    </row>
    <row r="499">
      <c r="I499" s="16">
        <f>IF(AND(G499&lt;&gt;"",H499&lt;&gt;""),G499*H499,"")</f>
        <v/>
      </c>
      <c r="J499" s="16">
        <f>IF(H499="","",IF(H499&lt;=250,"Liviana (0-250 kg)",IF(H499&lt;=1000,"Mediana (251-1000 kg)","Pesada (&gt;1000 kg)")))</f>
        <v/>
      </c>
    </row>
  </sheetData>
  <mergeCells count="1">
    <mergeCell ref="A1:L1"/>
  </mergeCells>
  <dataValidations count="8">
    <dataValidation sqref="B3:B500" showDropDown="0" showInputMessage="0" showErrorMessage="1" allowBlank="1" error="Número entero." type="whole" operator="between">
      <formula1>0</formula1>
      <formula2>100000</formula2>
    </dataValidation>
    <dataValidation sqref="C3:C500" showDropDown="0" showInputMessage="0" showErrorMessage="1" allowBlank="1" errorTitle="Valor no válido" error="Elija un valor de la lista desplegable." type="list">
      <formula1>=LISTAS!$C$2:$C$24</formula1>
    </dataValidation>
    <dataValidation sqref="F3:F500" showDropDown="0" showInputMessage="0" showErrorMessage="1" allowBlank="1" error="Número mayor o igual a 0." type="decimal" operator="greaterThanOrEqual">
      <formula1>0</formula1>
    </dataValidation>
    <dataValidation sqref="G3:G500" showDropDown="0" showInputMessage="0" showErrorMessage="1" allowBlank="1" error="Número entero." type="whole" operator="between">
      <formula1>0</formula1>
      <formula2>100000</formula2>
    </dataValidation>
    <dataValidation sqref="H3:H500" showDropDown="0" showInputMessage="0" showErrorMessage="1" allowBlank="1" error="Número mayor o igual a 0." type="decimal" operator="greaterThanOrEqual">
      <formula1>0</formula1>
    </dataValidation>
    <dataValidation sqref="K3:K500" showDropDown="0" showInputMessage="0" showErrorMessage="1" allowBlank="1" error="Número mayor o igual a 0." type="decimal" operator="greaterThanOrEqual">
      <formula1>0</formula1>
    </dataValidation>
    <dataValidation sqref="L3:L500" showDropDown="0" showInputMessage="0" showErrorMessage="1" allowBlank="1" errorTitle="Valor no válido" error="Elija un valor de la lista desplegable." type="list">
      <formula1>=LISTAS!$M$2:$M$8</formula1>
    </dataValidation>
    <dataValidation sqref="N3:N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2" customWidth="1" min="4" max="4"/>
    <col width="10" customWidth="1" min="5" max="5"/>
    <col width="10" customWidth="1" min="6" max="6"/>
    <col width="10" customWidth="1" min="7" max="7"/>
    <col width="11" customWidth="1" min="8" max="8"/>
    <col width="40" customWidth="1" min="9" max="9"/>
  </cols>
  <sheetData>
    <row r="1">
      <c r="A1" s="7" t="inlineStr">
        <is>
          <t>TAREO · Fuente de las HH reales. Una fila por día × proceso × cuadrilla.  (Jefe de taller / supervisor · cada día)</t>
        </is>
      </c>
    </row>
    <row r="2" ht="42" customHeight="1">
      <c r="A2" s="8" t="inlineStr">
        <is>
          <t>Fecha</t>
        </is>
      </c>
      <c r="B2" s="8" t="inlineStr">
        <is>
          <t>Código OT</t>
        </is>
      </c>
      <c r="C2" s="8" t="inlineStr">
        <is>
          <t>Proceso</t>
        </is>
      </c>
      <c r="D2" s="8" t="inlineStr">
        <is>
          <t>Contratista / cuadrilla</t>
        </is>
      </c>
      <c r="E2" s="8" t="inlineStr">
        <is>
          <t>N° personas</t>
        </is>
      </c>
      <c r="F2" s="8" t="inlineStr">
        <is>
          <t>Horas por persona</t>
        </is>
      </c>
      <c r="G2" s="14" t="inlineStr">
        <is>
          <t>HH del día</t>
        </is>
      </c>
      <c r="H2" s="8" t="inlineStr">
        <is>
          <t>Kg avanzados</t>
        </is>
      </c>
      <c r="I2" s="8" t="inlineStr">
        <is>
          <t>Observación (falta de material, retrabajo, etc.)</t>
        </is>
      </c>
    </row>
    <row r="3">
      <c r="A3" s="9" t="inlineStr">
        <is>
          <t>2026-10-23</t>
        </is>
      </c>
      <c r="B3" s="9" t="inlineStr">
        <is>
          <t>OT-2026-015</t>
        </is>
      </c>
      <c r="C3" s="9" t="inlineStr">
        <is>
          <t>08 Armado</t>
        </is>
      </c>
      <c r="D3" s="9" t="inlineStr">
        <is>
          <t>T&amp;C FABRICACION</t>
        </is>
      </c>
      <c r="E3" s="9" t="n">
        <v>6</v>
      </c>
      <c r="F3" s="9" t="n">
        <v>8</v>
      </c>
      <c r="G3" s="15">
        <f>IF(AND(E3&lt;&gt;"",F3&lt;&gt;""),E3*F3,"")</f>
        <v/>
      </c>
      <c r="H3" s="9" t="n">
        <v>1850</v>
      </c>
      <c r="I3" s="9" t="inlineStr">
        <is>
          <t>Faltó perfil W8 en la mañana</t>
        </is>
      </c>
      <c r="J3" s="11" t="inlineStr">
        <is>
          <t>← EJEMPLO: borrar esta fila</t>
        </is>
      </c>
    </row>
    <row r="4">
      <c r="C4" s="12" t="n"/>
      <c r="D4" s="12" t="n"/>
      <c r="G4" s="16">
        <f>IF(AND(E4&lt;&gt;"",F4&lt;&gt;""),E4*F4,"")</f>
        <v/>
      </c>
    </row>
    <row r="5">
      <c r="C5" s="12" t="n"/>
      <c r="D5" s="12" t="n"/>
      <c r="G5" s="16">
        <f>IF(AND(E5&lt;&gt;"",F5&lt;&gt;""),E5*F5,"")</f>
        <v/>
      </c>
    </row>
    <row r="6">
      <c r="C6" s="12" t="n"/>
      <c r="D6" s="12" t="n"/>
      <c r="G6" s="16">
        <f>IF(AND(E6&lt;&gt;"",F6&lt;&gt;""),E6*F6,"")</f>
        <v/>
      </c>
    </row>
    <row r="7">
      <c r="C7" s="12" t="n"/>
      <c r="D7" s="12" t="n"/>
      <c r="G7" s="16">
        <f>IF(AND(E7&lt;&gt;"",F7&lt;&gt;""),E7*F7,"")</f>
        <v/>
      </c>
    </row>
    <row r="8">
      <c r="C8" s="12" t="n"/>
      <c r="D8" s="12" t="n"/>
      <c r="G8" s="16">
        <f>IF(AND(E8&lt;&gt;"",F8&lt;&gt;""),E8*F8,"")</f>
        <v/>
      </c>
    </row>
    <row r="9">
      <c r="C9" s="12" t="n"/>
      <c r="D9" s="12" t="n"/>
      <c r="G9" s="16">
        <f>IF(AND(E9&lt;&gt;"",F9&lt;&gt;""),E9*F9,"")</f>
        <v/>
      </c>
    </row>
    <row r="10">
      <c r="C10" s="12" t="n"/>
      <c r="D10" s="12" t="n"/>
      <c r="G10" s="16">
        <f>IF(AND(E10&lt;&gt;"",F10&lt;&gt;""),E10*F10,"")</f>
        <v/>
      </c>
    </row>
    <row r="11">
      <c r="C11" s="12" t="n"/>
      <c r="D11" s="12" t="n"/>
      <c r="G11" s="16">
        <f>IF(AND(E11&lt;&gt;"",F11&lt;&gt;""),E11*F11,"")</f>
        <v/>
      </c>
    </row>
    <row r="12">
      <c r="C12" s="12" t="n"/>
      <c r="D12" s="12" t="n"/>
      <c r="G12" s="16">
        <f>IF(AND(E12&lt;&gt;"",F12&lt;&gt;""),E12*F12,"")</f>
        <v/>
      </c>
    </row>
    <row r="13">
      <c r="C13" s="12" t="n"/>
      <c r="D13" s="12" t="n"/>
      <c r="G13" s="16">
        <f>IF(AND(E13&lt;&gt;"",F13&lt;&gt;""),E13*F13,"")</f>
        <v/>
      </c>
    </row>
    <row r="14">
      <c r="C14" s="12" t="n"/>
      <c r="D14" s="12" t="n"/>
      <c r="G14" s="16">
        <f>IF(AND(E14&lt;&gt;"",F14&lt;&gt;""),E14*F14,"")</f>
        <v/>
      </c>
    </row>
    <row r="15">
      <c r="C15" s="12" t="n"/>
      <c r="D15" s="12" t="n"/>
      <c r="G15" s="16">
        <f>IF(AND(E15&lt;&gt;"",F15&lt;&gt;""),E15*F15,"")</f>
        <v/>
      </c>
    </row>
    <row r="16">
      <c r="C16" s="12" t="n"/>
      <c r="D16" s="12" t="n"/>
      <c r="G16" s="16">
        <f>IF(AND(E16&lt;&gt;"",F16&lt;&gt;""),E16*F16,"")</f>
        <v/>
      </c>
    </row>
    <row r="17">
      <c r="C17" s="12" t="n"/>
      <c r="D17" s="12" t="n"/>
      <c r="G17" s="16">
        <f>IF(AND(E17&lt;&gt;"",F17&lt;&gt;""),E17*F17,"")</f>
        <v/>
      </c>
    </row>
    <row r="18">
      <c r="C18" s="12" t="n"/>
      <c r="D18" s="12" t="n"/>
      <c r="G18" s="16">
        <f>IF(AND(E18&lt;&gt;"",F18&lt;&gt;""),E18*F18,"")</f>
        <v/>
      </c>
    </row>
    <row r="19">
      <c r="C19" s="12" t="n"/>
      <c r="D19" s="12" t="n"/>
      <c r="G19" s="16">
        <f>IF(AND(E19&lt;&gt;"",F19&lt;&gt;""),E19*F19,"")</f>
        <v/>
      </c>
    </row>
    <row r="20">
      <c r="C20" s="12" t="n"/>
      <c r="D20" s="12" t="n"/>
      <c r="G20" s="16">
        <f>IF(AND(E20&lt;&gt;"",F20&lt;&gt;""),E20*F20,"")</f>
        <v/>
      </c>
    </row>
    <row r="21">
      <c r="C21" s="12" t="n"/>
      <c r="D21" s="12" t="n"/>
      <c r="G21" s="16">
        <f>IF(AND(E21&lt;&gt;"",F21&lt;&gt;""),E21*F21,"")</f>
        <v/>
      </c>
    </row>
    <row r="22">
      <c r="C22" s="12" t="n"/>
      <c r="D22" s="12" t="n"/>
      <c r="G22" s="16">
        <f>IF(AND(E22&lt;&gt;"",F22&lt;&gt;""),E22*F22,"")</f>
        <v/>
      </c>
    </row>
    <row r="23">
      <c r="C23" s="12" t="n"/>
      <c r="D23" s="12" t="n"/>
      <c r="G23" s="16">
        <f>IF(AND(E23&lt;&gt;"",F23&lt;&gt;""),E23*F23,"")</f>
        <v/>
      </c>
    </row>
    <row r="24">
      <c r="C24" s="12" t="n"/>
      <c r="D24" s="12" t="n"/>
      <c r="G24" s="16">
        <f>IF(AND(E24&lt;&gt;"",F24&lt;&gt;""),E24*F24,"")</f>
        <v/>
      </c>
    </row>
    <row r="25">
      <c r="C25" s="12" t="n"/>
      <c r="D25" s="12" t="n"/>
      <c r="G25" s="16">
        <f>IF(AND(E25&lt;&gt;"",F25&lt;&gt;""),E25*F25,"")</f>
        <v/>
      </c>
    </row>
    <row r="26">
      <c r="C26" s="12" t="n"/>
      <c r="D26" s="12" t="n"/>
      <c r="G26" s="16">
        <f>IF(AND(E26&lt;&gt;"",F26&lt;&gt;""),E26*F26,"")</f>
        <v/>
      </c>
    </row>
    <row r="27">
      <c r="C27" s="12" t="n"/>
      <c r="D27" s="12" t="n"/>
      <c r="G27" s="16">
        <f>IF(AND(E27&lt;&gt;"",F27&lt;&gt;""),E27*F27,"")</f>
        <v/>
      </c>
    </row>
    <row r="28">
      <c r="C28" s="12" t="n"/>
      <c r="D28" s="12" t="n"/>
      <c r="G28" s="16">
        <f>IF(AND(E28&lt;&gt;"",F28&lt;&gt;""),E28*F28,"")</f>
        <v/>
      </c>
    </row>
    <row r="29">
      <c r="C29" s="12" t="n"/>
      <c r="D29" s="12" t="n"/>
      <c r="G29" s="16">
        <f>IF(AND(E29&lt;&gt;"",F29&lt;&gt;""),E29*F29,"")</f>
        <v/>
      </c>
    </row>
    <row r="30">
      <c r="C30" s="12" t="n"/>
      <c r="D30" s="12" t="n"/>
      <c r="G30" s="16">
        <f>IF(AND(E30&lt;&gt;"",F30&lt;&gt;""),E30*F30,"")</f>
        <v/>
      </c>
    </row>
    <row r="31">
      <c r="C31" s="12" t="n"/>
      <c r="D31" s="12" t="n"/>
      <c r="G31" s="16">
        <f>IF(AND(E31&lt;&gt;"",F31&lt;&gt;""),E31*F31,"")</f>
        <v/>
      </c>
    </row>
    <row r="32">
      <c r="C32" s="12" t="n"/>
      <c r="D32" s="12" t="n"/>
      <c r="G32" s="16">
        <f>IF(AND(E32&lt;&gt;"",F32&lt;&gt;""),E32*F32,"")</f>
        <v/>
      </c>
    </row>
    <row r="33">
      <c r="C33" s="12" t="n"/>
      <c r="D33" s="12" t="n"/>
      <c r="G33" s="16">
        <f>IF(AND(E33&lt;&gt;"",F33&lt;&gt;""),E33*F33,"")</f>
        <v/>
      </c>
    </row>
    <row r="34">
      <c r="C34" s="12" t="n"/>
      <c r="D34" s="12" t="n"/>
      <c r="G34" s="16">
        <f>IF(AND(E34&lt;&gt;"",F34&lt;&gt;""),E34*F34,"")</f>
        <v/>
      </c>
    </row>
    <row r="35">
      <c r="C35" s="12" t="n"/>
      <c r="D35" s="12" t="n"/>
      <c r="G35" s="16">
        <f>IF(AND(E35&lt;&gt;"",F35&lt;&gt;""),E35*F35,"")</f>
        <v/>
      </c>
    </row>
    <row r="36">
      <c r="C36" s="12" t="n"/>
      <c r="D36" s="12" t="n"/>
      <c r="G36" s="16">
        <f>IF(AND(E36&lt;&gt;"",F36&lt;&gt;""),E36*F36,"")</f>
        <v/>
      </c>
    </row>
    <row r="37">
      <c r="C37" s="12" t="n"/>
      <c r="D37" s="12" t="n"/>
      <c r="G37" s="16">
        <f>IF(AND(E37&lt;&gt;"",F37&lt;&gt;""),E37*F37,"")</f>
        <v/>
      </c>
    </row>
    <row r="38">
      <c r="C38" s="12" t="n"/>
      <c r="D38" s="12" t="n"/>
      <c r="G38" s="16">
        <f>IF(AND(E38&lt;&gt;"",F38&lt;&gt;""),E38*F38,"")</f>
        <v/>
      </c>
    </row>
    <row r="39">
      <c r="C39" s="12" t="n"/>
      <c r="D39" s="12" t="n"/>
      <c r="G39" s="16">
        <f>IF(AND(E39&lt;&gt;"",F39&lt;&gt;""),E39*F39,"")</f>
        <v/>
      </c>
    </row>
    <row r="40">
      <c r="C40" s="12" t="n"/>
      <c r="D40" s="12" t="n"/>
      <c r="G40" s="16">
        <f>IF(AND(E40&lt;&gt;"",F40&lt;&gt;""),E40*F40,"")</f>
        <v/>
      </c>
    </row>
    <row r="41">
      <c r="C41" s="12" t="n"/>
      <c r="D41" s="12" t="n"/>
      <c r="G41" s="16">
        <f>IF(AND(E41&lt;&gt;"",F41&lt;&gt;""),E41*F41,"")</f>
        <v/>
      </c>
    </row>
    <row r="42">
      <c r="C42" s="12" t="n"/>
      <c r="D42" s="12" t="n"/>
      <c r="G42" s="16">
        <f>IF(AND(E42&lt;&gt;"",F42&lt;&gt;""),E42*F42,"")</f>
        <v/>
      </c>
    </row>
    <row r="43">
      <c r="C43" s="12" t="n"/>
      <c r="D43" s="12" t="n"/>
      <c r="G43" s="16">
        <f>IF(AND(E43&lt;&gt;"",F43&lt;&gt;""),E43*F43,"")</f>
        <v/>
      </c>
    </row>
    <row r="44">
      <c r="C44" s="12" t="n"/>
      <c r="D44" s="12" t="n"/>
      <c r="G44" s="16">
        <f>IF(AND(E44&lt;&gt;"",F44&lt;&gt;""),E44*F44,"")</f>
        <v/>
      </c>
    </row>
    <row r="45">
      <c r="C45" s="12" t="n"/>
      <c r="D45" s="12" t="n"/>
      <c r="G45" s="16">
        <f>IF(AND(E45&lt;&gt;"",F45&lt;&gt;""),E45*F45,"")</f>
        <v/>
      </c>
    </row>
    <row r="46">
      <c r="C46" s="12" t="n"/>
      <c r="D46" s="12" t="n"/>
      <c r="G46" s="16">
        <f>IF(AND(E46&lt;&gt;"",F46&lt;&gt;""),E46*F46,"")</f>
        <v/>
      </c>
    </row>
    <row r="47">
      <c r="C47" s="12" t="n"/>
      <c r="D47" s="12" t="n"/>
      <c r="G47" s="16">
        <f>IF(AND(E47&lt;&gt;"",F47&lt;&gt;""),E47*F47,"")</f>
        <v/>
      </c>
    </row>
    <row r="48">
      <c r="C48" s="12" t="n"/>
      <c r="D48" s="12" t="n"/>
      <c r="G48" s="16">
        <f>IF(AND(E48&lt;&gt;"",F48&lt;&gt;""),E48*F48,"")</f>
        <v/>
      </c>
    </row>
    <row r="49">
      <c r="C49" s="12" t="n"/>
      <c r="D49" s="12" t="n"/>
      <c r="G49" s="16">
        <f>IF(AND(E49&lt;&gt;"",F49&lt;&gt;""),E49*F49,"")</f>
        <v/>
      </c>
    </row>
    <row r="50">
      <c r="C50" s="12" t="n"/>
      <c r="D50" s="12" t="n"/>
      <c r="G50" s="16">
        <f>IF(AND(E50&lt;&gt;"",F50&lt;&gt;""),E50*F50,"")</f>
        <v/>
      </c>
    </row>
    <row r="51">
      <c r="C51" s="12" t="n"/>
      <c r="D51" s="12" t="n"/>
      <c r="G51" s="16">
        <f>IF(AND(E51&lt;&gt;"",F51&lt;&gt;""),E51*F51,"")</f>
        <v/>
      </c>
    </row>
    <row r="52">
      <c r="C52" s="12" t="n"/>
      <c r="D52" s="12" t="n"/>
      <c r="G52" s="16">
        <f>IF(AND(E52&lt;&gt;"",F52&lt;&gt;""),E52*F52,"")</f>
        <v/>
      </c>
    </row>
    <row r="53">
      <c r="C53" s="12" t="n"/>
      <c r="D53" s="12" t="n"/>
      <c r="G53" s="16">
        <f>IF(AND(E53&lt;&gt;"",F53&lt;&gt;""),E53*F53,"")</f>
        <v/>
      </c>
    </row>
    <row r="54">
      <c r="C54" s="12" t="n"/>
      <c r="D54" s="12" t="n"/>
      <c r="G54" s="16">
        <f>IF(AND(E54&lt;&gt;"",F54&lt;&gt;""),E54*F54,"")</f>
        <v/>
      </c>
    </row>
    <row r="55">
      <c r="C55" s="12" t="n"/>
      <c r="D55" s="12" t="n"/>
      <c r="G55" s="16">
        <f>IF(AND(E55&lt;&gt;"",F55&lt;&gt;""),E55*F55,"")</f>
        <v/>
      </c>
    </row>
    <row r="56">
      <c r="C56" s="12" t="n"/>
      <c r="D56" s="12" t="n"/>
      <c r="G56" s="16">
        <f>IF(AND(E56&lt;&gt;"",F56&lt;&gt;""),E56*F56,"")</f>
        <v/>
      </c>
    </row>
    <row r="57">
      <c r="C57" s="12" t="n"/>
      <c r="D57" s="12" t="n"/>
      <c r="G57" s="16">
        <f>IF(AND(E57&lt;&gt;"",F57&lt;&gt;""),E57*F57,"")</f>
        <v/>
      </c>
    </row>
    <row r="58">
      <c r="C58" s="12" t="n"/>
      <c r="D58" s="12" t="n"/>
      <c r="G58" s="16">
        <f>IF(AND(E58&lt;&gt;"",F58&lt;&gt;""),E58*F58,"")</f>
        <v/>
      </c>
    </row>
    <row r="59">
      <c r="C59" s="12" t="n"/>
      <c r="D59" s="12" t="n"/>
      <c r="G59" s="16">
        <f>IF(AND(E59&lt;&gt;"",F59&lt;&gt;""),E59*F59,"")</f>
        <v/>
      </c>
    </row>
    <row r="60">
      <c r="G60" s="16">
        <f>IF(AND(E60&lt;&gt;"",F60&lt;&gt;""),E60*F60,"")</f>
        <v/>
      </c>
    </row>
    <row r="61">
      <c r="G61" s="16">
        <f>IF(AND(E61&lt;&gt;"",F61&lt;&gt;""),E61*F61,"")</f>
        <v/>
      </c>
    </row>
    <row r="62">
      <c r="G62" s="16">
        <f>IF(AND(E62&lt;&gt;"",F62&lt;&gt;""),E62*F62,"")</f>
        <v/>
      </c>
    </row>
    <row r="63">
      <c r="G63" s="16">
        <f>IF(AND(E63&lt;&gt;"",F63&lt;&gt;""),E63*F63,"")</f>
        <v/>
      </c>
    </row>
    <row r="64">
      <c r="G64" s="16">
        <f>IF(AND(E64&lt;&gt;"",F64&lt;&gt;""),E64*F64,"")</f>
        <v/>
      </c>
    </row>
    <row r="65">
      <c r="G65" s="16">
        <f>IF(AND(E65&lt;&gt;"",F65&lt;&gt;""),E65*F65,"")</f>
        <v/>
      </c>
    </row>
    <row r="66">
      <c r="G66" s="16">
        <f>IF(AND(E66&lt;&gt;"",F66&lt;&gt;""),E66*F66,"")</f>
        <v/>
      </c>
    </row>
    <row r="67">
      <c r="G67" s="16">
        <f>IF(AND(E67&lt;&gt;"",F67&lt;&gt;""),E67*F67,"")</f>
        <v/>
      </c>
    </row>
    <row r="68">
      <c r="G68" s="16">
        <f>IF(AND(E68&lt;&gt;"",F68&lt;&gt;""),E68*F68,"")</f>
        <v/>
      </c>
    </row>
    <row r="69">
      <c r="G69" s="16">
        <f>IF(AND(E69&lt;&gt;"",F69&lt;&gt;""),E69*F69,"")</f>
        <v/>
      </c>
    </row>
    <row r="70">
      <c r="G70" s="16">
        <f>IF(AND(E70&lt;&gt;"",F70&lt;&gt;""),E70*F70,"")</f>
        <v/>
      </c>
    </row>
    <row r="71">
      <c r="G71" s="16">
        <f>IF(AND(E71&lt;&gt;"",F71&lt;&gt;""),E71*F71,"")</f>
        <v/>
      </c>
    </row>
    <row r="72">
      <c r="G72" s="16">
        <f>IF(AND(E72&lt;&gt;"",F72&lt;&gt;""),E72*F72,"")</f>
        <v/>
      </c>
    </row>
    <row r="73">
      <c r="G73" s="16">
        <f>IF(AND(E73&lt;&gt;"",F73&lt;&gt;""),E73*F73,"")</f>
        <v/>
      </c>
    </row>
    <row r="74">
      <c r="G74" s="16">
        <f>IF(AND(E74&lt;&gt;"",F74&lt;&gt;""),E74*F74,"")</f>
        <v/>
      </c>
    </row>
    <row r="75">
      <c r="G75" s="16">
        <f>IF(AND(E75&lt;&gt;"",F75&lt;&gt;""),E75*F75,"")</f>
        <v/>
      </c>
    </row>
    <row r="76">
      <c r="G76" s="16">
        <f>IF(AND(E76&lt;&gt;"",F76&lt;&gt;""),E76*F76,"")</f>
        <v/>
      </c>
    </row>
    <row r="77">
      <c r="G77" s="16">
        <f>IF(AND(E77&lt;&gt;"",F77&lt;&gt;""),E77*F77,"")</f>
        <v/>
      </c>
    </row>
    <row r="78">
      <c r="G78" s="16">
        <f>IF(AND(E78&lt;&gt;"",F78&lt;&gt;""),E78*F78,"")</f>
        <v/>
      </c>
    </row>
    <row r="79">
      <c r="G79" s="16">
        <f>IF(AND(E79&lt;&gt;"",F79&lt;&gt;""),E79*F79,"")</f>
        <v/>
      </c>
    </row>
    <row r="80">
      <c r="G80" s="16">
        <f>IF(AND(E80&lt;&gt;"",F80&lt;&gt;""),E80*F80,"")</f>
        <v/>
      </c>
    </row>
    <row r="81">
      <c r="G81" s="16">
        <f>IF(AND(E81&lt;&gt;"",F81&lt;&gt;""),E81*F81,"")</f>
        <v/>
      </c>
    </row>
    <row r="82">
      <c r="G82" s="16">
        <f>IF(AND(E82&lt;&gt;"",F82&lt;&gt;""),E82*F82,"")</f>
        <v/>
      </c>
    </row>
    <row r="83">
      <c r="G83" s="16">
        <f>IF(AND(E83&lt;&gt;"",F83&lt;&gt;""),E83*F83,"")</f>
        <v/>
      </c>
    </row>
    <row r="84">
      <c r="G84" s="16">
        <f>IF(AND(E84&lt;&gt;"",F84&lt;&gt;""),E84*F84,"")</f>
        <v/>
      </c>
    </row>
    <row r="85">
      <c r="G85" s="16">
        <f>IF(AND(E85&lt;&gt;"",F85&lt;&gt;""),E85*F85,"")</f>
        <v/>
      </c>
    </row>
    <row r="86">
      <c r="G86" s="16">
        <f>IF(AND(E86&lt;&gt;"",F86&lt;&gt;""),E86*F86,"")</f>
        <v/>
      </c>
    </row>
    <row r="87">
      <c r="G87" s="16">
        <f>IF(AND(E87&lt;&gt;"",F87&lt;&gt;""),E87*F87,"")</f>
        <v/>
      </c>
    </row>
    <row r="88">
      <c r="G88" s="16">
        <f>IF(AND(E88&lt;&gt;"",F88&lt;&gt;""),E88*F88,"")</f>
        <v/>
      </c>
    </row>
    <row r="89">
      <c r="G89" s="16">
        <f>IF(AND(E89&lt;&gt;"",F89&lt;&gt;""),E89*F89,"")</f>
        <v/>
      </c>
    </row>
    <row r="90">
      <c r="G90" s="16">
        <f>IF(AND(E90&lt;&gt;"",F90&lt;&gt;""),E90*F90,"")</f>
        <v/>
      </c>
    </row>
    <row r="91">
      <c r="G91" s="16">
        <f>IF(AND(E91&lt;&gt;"",F91&lt;&gt;""),E91*F91,"")</f>
        <v/>
      </c>
    </row>
    <row r="92">
      <c r="G92" s="16">
        <f>IF(AND(E92&lt;&gt;"",F92&lt;&gt;""),E92*F92,"")</f>
        <v/>
      </c>
    </row>
    <row r="93">
      <c r="G93" s="16">
        <f>IF(AND(E93&lt;&gt;"",F93&lt;&gt;""),E93*F93,"")</f>
        <v/>
      </c>
    </row>
    <row r="94">
      <c r="G94" s="16">
        <f>IF(AND(E94&lt;&gt;"",F94&lt;&gt;""),E94*F94,"")</f>
        <v/>
      </c>
    </row>
    <row r="95">
      <c r="G95" s="16">
        <f>IF(AND(E95&lt;&gt;"",F95&lt;&gt;""),E95*F95,"")</f>
        <v/>
      </c>
    </row>
    <row r="96">
      <c r="G96" s="16">
        <f>IF(AND(E96&lt;&gt;"",F96&lt;&gt;""),E96*F96,"")</f>
        <v/>
      </c>
    </row>
    <row r="97">
      <c r="G97" s="16">
        <f>IF(AND(E97&lt;&gt;"",F97&lt;&gt;""),E97*F97,"")</f>
        <v/>
      </c>
    </row>
    <row r="98">
      <c r="G98" s="16">
        <f>IF(AND(E98&lt;&gt;"",F98&lt;&gt;""),E98*F98,"")</f>
        <v/>
      </c>
    </row>
    <row r="99">
      <c r="G99" s="16">
        <f>IF(AND(E99&lt;&gt;"",F99&lt;&gt;""),E99*F99,"")</f>
        <v/>
      </c>
    </row>
    <row r="100">
      <c r="G100" s="16">
        <f>IF(AND(E100&lt;&gt;"",F100&lt;&gt;""),E100*F100,"")</f>
        <v/>
      </c>
    </row>
    <row r="101">
      <c r="G101" s="16">
        <f>IF(AND(E101&lt;&gt;"",F101&lt;&gt;""),E101*F101,"")</f>
        <v/>
      </c>
    </row>
    <row r="102">
      <c r="G102" s="16">
        <f>IF(AND(E102&lt;&gt;"",F102&lt;&gt;""),E102*F102,"")</f>
        <v/>
      </c>
    </row>
    <row r="103">
      <c r="G103" s="16">
        <f>IF(AND(E103&lt;&gt;"",F103&lt;&gt;""),E103*F103,"")</f>
        <v/>
      </c>
    </row>
    <row r="104">
      <c r="G104" s="16">
        <f>IF(AND(E104&lt;&gt;"",F104&lt;&gt;""),E104*F104,"")</f>
        <v/>
      </c>
    </row>
    <row r="105">
      <c r="G105" s="16">
        <f>IF(AND(E105&lt;&gt;"",F105&lt;&gt;""),E105*F105,"")</f>
        <v/>
      </c>
    </row>
    <row r="106">
      <c r="G106" s="16">
        <f>IF(AND(E106&lt;&gt;"",F106&lt;&gt;""),E106*F106,"")</f>
        <v/>
      </c>
    </row>
    <row r="107">
      <c r="G107" s="16">
        <f>IF(AND(E107&lt;&gt;"",F107&lt;&gt;""),E107*F107,"")</f>
        <v/>
      </c>
    </row>
    <row r="108">
      <c r="G108" s="16">
        <f>IF(AND(E108&lt;&gt;"",F108&lt;&gt;""),E108*F108,"")</f>
        <v/>
      </c>
    </row>
    <row r="109">
      <c r="G109" s="16">
        <f>IF(AND(E109&lt;&gt;"",F109&lt;&gt;""),E109*F109,"")</f>
        <v/>
      </c>
    </row>
    <row r="110">
      <c r="G110" s="16">
        <f>IF(AND(E110&lt;&gt;"",F110&lt;&gt;""),E110*F110,"")</f>
        <v/>
      </c>
    </row>
    <row r="111">
      <c r="G111" s="16">
        <f>IF(AND(E111&lt;&gt;"",F111&lt;&gt;""),E111*F111,"")</f>
        <v/>
      </c>
    </row>
    <row r="112">
      <c r="G112" s="16">
        <f>IF(AND(E112&lt;&gt;"",F112&lt;&gt;""),E112*F112,"")</f>
        <v/>
      </c>
    </row>
    <row r="113">
      <c r="G113" s="16">
        <f>IF(AND(E113&lt;&gt;"",F113&lt;&gt;""),E113*F113,"")</f>
        <v/>
      </c>
    </row>
    <row r="114">
      <c r="G114" s="16">
        <f>IF(AND(E114&lt;&gt;"",F114&lt;&gt;""),E114*F114,"")</f>
        <v/>
      </c>
    </row>
    <row r="115">
      <c r="G115" s="16">
        <f>IF(AND(E115&lt;&gt;"",F115&lt;&gt;""),E115*F115,"")</f>
        <v/>
      </c>
    </row>
    <row r="116">
      <c r="G116" s="16">
        <f>IF(AND(E116&lt;&gt;"",F116&lt;&gt;""),E116*F116,"")</f>
        <v/>
      </c>
    </row>
    <row r="117">
      <c r="G117" s="16">
        <f>IF(AND(E117&lt;&gt;"",F117&lt;&gt;""),E117*F117,"")</f>
        <v/>
      </c>
    </row>
    <row r="118">
      <c r="G118" s="16">
        <f>IF(AND(E118&lt;&gt;"",F118&lt;&gt;""),E118*F118,"")</f>
        <v/>
      </c>
    </row>
    <row r="119">
      <c r="G119" s="16">
        <f>IF(AND(E119&lt;&gt;"",F119&lt;&gt;""),E119*F119,"")</f>
        <v/>
      </c>
    </row>
    <row r="120">
      <c r="G120" s="16">
        <f>IF(AND(E120&lt;&gt;"",F120&lt;&gt;""),E120*F120,"")</f>
        <v/>
      </c>
    </row>
    <row r="121">
      <c r="G121" s="16">
        <f>IF(AND(E121&lt;&gt;"",F121&lt;&gt;""),E121*F121,"")</f>
        <v/>
      </c>
    </row>
    <row r="122">
      <c r="G122" s="16">
        <f>IF(AND(E122&lt;&gt;"",F122&lt;&gt;""),E122*F122,"")</f>
        <v/>
      </c>
    </row>
    <row r="123">
      <c r="G123" s="16">
        <f>IF(AND(E123&lt;&gt;"",F123&lt;&gt;""),E123*F123,"")</f>
        <v/>
      </c>
    </row>
    <row r="124">
      <c r="G124" s="16">
        <f>IF(AND(E124&lt;&gt;"",F124&lt;&gt;""),E124*F124,"")</f>
        <v/>
      </c>
    </row>
    <row r="125">
      <c r="G125" s="16">
        <f>IF(AND(E125&lt;&gt;"",F125&lt;&gt;""),E125*F125,"")</f>
        <v/>
      </c>
    </row>
    <row r="126">
      <c r="G126" s="16">
        <f>IF(AND(E126&lt;&gt;"",F126&lt;&gt;""),E126*F126,"")</f>
        <v/>
      </c>
    </row>
    <row r="127">
      <c r="G127" s="16">
        <f>IF(AND(E127&lt;&gt;"",F127&lt;&gt;""),E127*F127,"")</f>
        <v/>
      </c>
    </row>
    <row r="128">
      <c r="G128" s="16">
        <f>IF(AND(E128&lt;&gt;"",F128&lt;&gt;""),E128*F128,"")</f>
        <v/>
      </c>
    </row>
    <row r="129">
      <c r="G129" s="16">
        <f>IF(AND(E129&lt;&gt;"",F129&lt;&gt;""),E129*F129,"")</f>
        <v/>
      </c>
    </row>
    <row r="130">
      <c r="G130" s="16">
        <f>IF(AND(E130&lt;&gt;"",F130&lt;&gt;""),E130*F130,"")</f>
        <v/>
      </c>
    </row>
    <row r="131">
      <c r="G131" s="16">
        <f>IF(AND(E131&lt;&gt;"",F131&lt;&gt;""),E131*F131,"")</f>
        <v/>
      </c>
    </row>
    <row r="132">
      <c r="G132" s="16">
        <f>IF(AND(E132&lt;&gt;"",F132&lt;&gt;""),E132*F132,"")</f>
        <v/>
      </c>
    </row>
    <row r="133">
      <c r="G133" s="16">
        <f>IF(AND(E133&lt;&gt;"",F133&lt;&gt;""),E133*F133,"")</f>
        <v/>
      </c>
    </row>
    <row r="134">
      <c r="G134" s="16">
        <f>IF(AND(E134&lt;&gt;"",F134&lt;&gt;""),E134*F134,"")</f>
        <v/>
      </c>
    </row>
    <row r="135">
      <c r="G135" s="16">
        <f>IF(AND(E135&lt;&gt;"",F135&lt;&gt;""),E135*F135,"")</f>
        <v/>
      </c>
    </row>
    <row r="136">
      <c r="G136" s="16">
        <f>IF(AND(E136&lt;&gt;"",F136&lt;&gt;""),E136*F136,"")</f>
        <v/>
      </c>
    </row>
    <row r="137">
      <c r="G137" s="16">
        <f>IF(AND(E137&lt;&gt;"",F137&lt;&gt;""),E137*F137,"")</f>
        <v/>
      </c>
    </row>
    <row r="138">
      <c r="G138" s="16">
        <f>IF(AND(E138&lt;&gt;"",F138&lt;&gt;""),E138*F138,"")</f>
        <v/>
      </c>
    </row>
    <row r="139">
      <c r="G139" s="16">
        <f>IF(AND(E139&lt;&gt;"",F139&lt;&gt;""),E139*F139,"")</f>
        <v/>
      </c>
    </row>
    <row r="140">
      <c r="G140" s="16">
        <f>IF(AND(E140&lt;&gt;"",F140&lt;&gt;""),E140*F140,"")</f>
        <v/>
      </c>
    </row>
    <row r="141">
      <c r="G141" s="16">
        <f>IF(AND(E141&lt;&gt;"",F141&lt;&gt;""),E141*F141,"")</f>
        <v/>
      </c>
    </row>
    <row r="142">
      <c r="G142" s="16">
        <f>IF(AND(E142&lt;&gt;"",F142&lt;&gt;""),E142*F142,"")</f>
        <v/>
      </c>
    </row>
    <row r="143">
      <c r="G143" s="16">
        <f>IF(AND(E143&lt;&gt;"",F143&lt;&gt;""),E143*F143,"")</f>
        <v/>
      </c>
    </row>
    <row r="144">
      <c r="G144" s="16">
        <f>IF(AND(E144&lt;&gt;"",F144&lt;&gt;""),E144*F144,"")</f>
        <v/>
      </c>
    </row>
    <row r="145">
      <c r="G145" s="16">
        <f>IF(AND(E145&lt;&gt;"",F145&lt;&gt;""),E145*F145,"")</f>
        <v/>
      </c>
    </row>
    <row r="146">
      <c r="G146" s="16">
        <f>IF(AND(E146&lt;&gt;"",F146&lt;&gt;""),E146*F146,"")</f>
        <v/>
      </c>
    </row>
    <row r="147">
      <c r="G147" s="16">
        <f>IF(AND(E147&lt;&gt;"",F147&lt;&gt;""),E147*F147,"")</f>
        <v/>
      </c>
    </row>
    <row r="148">
      <c r="G148" s="16">
        <f>IF(AND(E148&lt;&gt;"",F148&lt;&gt;""),E148*F148,"")</f>
        <v/>
      </c>
    </row>
    <row r="149">
      <c r="G149" s="16">
        <f>IF(AND(E149&lt;&gt;"",F149&lt;&gt;""),E149*F149,"")</f>
        <v/>
      </c>
    </row>
    <row r="150">
      <c r="G150" s="16">
        <f>IF(AND(E150&lt;&gt;"",F150&lt;&gt;""),E150*F150,"")</f>
        <v/>
      </c>
    </row>
    <row r="151">
      <c r="G151" s="16">
        <f>IF(AND(E151&lt;&gt;"",F151&lt;&gt;""),E151*F151,"")</f>
        <v/>
      </c>
    </row>
    <row r="152">
      <c r="G152" s="16">
        <f>IF(AND(E152&lt;&gt;"",F152&lt;&gt;""),E152*F152,"")</f>
        <v/>
      </c>
    </row>
    <row r="153">
      <c r="G153" s="16">
        <f>IF(AND(E153&lt;&gt;"",F153&lt;&gt;""),E153*F153,"")</f>
        <v/>
      </c>
    </row>
    <row r="154">
      <c r="G154" s="16">
        <f>IF(AND(E154&lt;&gt;"",F154&lt;&gt;""),E154*F154,"")</f>
        <v/>
      </c>
    </row>
    <row r="155">
      <c r="G155" s="16">
        <f>IF(AND(E155&lt;&gt;"",F155&lt;&gt;""),E155*F155,"")</f>
        <v/>
      </c>
    </row>
    <row r="156">
      <c r="G156" s="16">
        <f>IF(AND(E156&lt;&gt;"",F156&lt;&gt;""),E156*F156,"")</f>
        <v/>
      </c>
    </row>
    <row r="157">
      <c r="G157" s="16">
        <f>IF(AND(E157&lt;&gt;"",F157&lt;&gt;""),E157*F157,"")</f>
        <v/>
      </c>
    </row>
    <row r="158">
      <c r="G158" s="16">
        <f>IF(AND(E158&lt;&gt;"",F158&lt;&gt;""),E158*F158,"")</f>
        <v/>
      </c>
    </row>
    <row r="159">
      <c r="G159" s="16">
        <f>IF(AND(E159&lt;&gt;"",F159&lt;&gt;""),E159*F159,"")</f>
        <v/>
      </c>
    </row>
    <row r="160">
      <c r="G160" s="16">
        <f>IF(AND(E160&lt;&gt;"",F160&lt;&gt;""),E160*F160,"")</f>
        <v/>
      </c>
    </row>
    <row r="161">
      <c r="G161" s="16">
        <f>IF(AND(E161&lt;&gt;"",F161&lt;&gt;""),E161*F161,"")</f>
        <v/>
      </c>
    </row>
    <row r="162">
      <c r="G162" s="16">
        <f>IF(AND(E162&lt;&gt;"",F162&lt;&gt;""),E162*F162,"")</f>
        <v/>
      </c>
    </row>
    <row r="163">
      <c r="G163" s="16">
        <f>IF(AND(E163&lt;&gt;"",F163&lt;&gt;""),E163*F163,"")</f>
        <v/>
      </c>
    </row>
    <row r="164">
      <c r="G164" s="16">
        <f>IF(AND(E164&lt;&gt;"",F164&lt;&gt;""),E164*F164,"")</f>
        <v/>
      </c>
    </row>
    <row r="165">
      <c r="G165" s="16">
        <f>IF(AND(E165&lt;&gt;"",F165&lt;&gt;""),E165*F165,"")</f>
        <v/>
      </c>
    </row>
    <row r="166">
      <c r="G166" s="16">
        <f>IF(AND(E166&lt;&gt;"",F166&lt;&gt;""),E166*F166,"")</f>
        <v/>
      </c>
    </row>
    <row r="167">
      <c r="G167" s="16">
        <f>IF(AND(E167&lt;&gt;"",F167&lt;&gt;""),E167*F167,"")</f>
        <v/>
      </c>
    </row>
    <row r="168">
      <c r="G168" s="16">
        <f>IF(AND(E168&lt;&gt;"",F168&lt;&gt;""),E168*F168,"")</f>
        <v/>
      </c>
    </row>
    <row r="169">
      <c r="G169" s="16">
        <f>IF(AND(E169&lt;&gt;"",F169&lt;&gt;""),E169*F169,"")</f>
        <v/>
      </c>
    </row>
    <row r="170">
      <c r="G170" s="16">
        <f>IF(AND(E170&lt;&gt;"",F170&lt;&gt;""),E170*F170,"")</f>
        <v/>
      </c>
    </row>
    <row r="171">
      <c r="G171" s="16">
        <f>IF(AND(E171&lt;&gt;"",F171&lt;&gt;""),E171*F171,"")</f>
        <v/>
      </c>
    </row>
    <row r="172">
      <c r="G172" s="16">
        <f>IF(AND(E172&lt;&gt;"",F172&lt;&gt;""),E172*F172,"")</f>
        <v/>
      </c>
    </row>
    <row r="173">
      <c r="G173" s="16">
        <f>IF(AND(E173&lt;&gt;"",F173&lt;&gt;""),E173*F173,"")</f>
        <v/>
      </c>
    </row>
    <row r="174">
      <c r="G174" s="16">
        <f>IF(AND(E174&lt;&gt;"",F174&lt;&gt;""),E174*F174,"")</f>
        <v/>
      </c>
    </row>
    <row r="175">
      <c r="G175" s="16">
        <f>IF(AND(E175&lt;&gt;"",F175&lt;&gt;""),E175*F175,"")</f>
        <v/>
      </c>
    </row>
    <row r="176">
      <c r="G176" s="16">
        <f>IF(AND(E176&lt;&gt;"",F176&lt;&gt;""),E176*F176,"")</f>
        <v/>
      </c>
    </row>
    <row r="177">
      <c r="G177" s="16">
        <f>IF(AND(E177&lt;&gt;"",F177&lt;&gt;""),E177*F177,"")</f>
        <v/>
      </c>
    </row>
    <row r="178">
      <c r="G178" s="16">
        <f>IF(AND(E178&lt;&gt;"",F178&lt;&gt;""),E178*F178,"")</f>
        <v/>
      </c>
    </row>
    <row r="179">
      <c r="G179" s="16">
        <f>IF(AND(E179&lt;&gt;"",F179&lt;&gt;""),E179*F179,"")</f>
        <v/>
      </c>
    </row>
    <row r="180">
      <c r="G180" s="16">
        <f>IF(AND(E180&lt;&gt;"",F180&lt;&gt;""),E180*F180,"")</f>
        <v/>
      </c>
    </row>
    <row r="181">
      <c r="G181" s="16">
        <f>IF(AND(E181&lt;&gt;"",F181&lt;&gt;""),E181*F181,"")</f>
        <v/>
      </c>
    </row>
    <row r="182">
      <c r="G182" s="16">
        <f>IF(AND(E182&lt;&gt;"",F182&lt;&gt;""),E182*F182,"")</f>
        <v/>
      </c>
    </row>
    <row r="183">
      <c r="G183" s="16">
        <f>IF(AND(E183&lt;&gt;"",F183&lt;&gt;""),E183*F183,"")</f>
        <v/>
      </c>
    </row>
    <row r="184">
      <c r="G184" s="16">
        <f>IF(AND(E184&lt;&gt;"",F184&lt;&gt;""),E184*F184,"")</f>
        <v/>
      </c>
    </row>
    <row r="185">
      <c r="G185" s="16">
        <f>IF(AND(E185&lt;&gt;"",F185&lt;&gt;""),E185*F185,"")</f>
        <v/>
      </c>
    </row>
    <row r="186">
      <c r="G186" s="16">
        <f>IF(AND(E186&lt;&gt;"",F186&lt;&gt;""),E186*F186,"")</f>
        <v/>
      </c>
    </row>
    <row r="187">
      <c r="G187" s="16">
        <f>IF(AND(E187&lt;&gt;"",F187&lt;&gt;""),E187*F187,"")</f>
        <v/>
      </c>
    </row>
    <row r="188">
      <c r="G188" s="16">
        <f>IF(AND(E188&lt;&gt;"",F188&lt;&gt;""),E188*F188,"")</f>
        <v/>
      </c>
    </row>
    <row r="189">
      <c r="G189" s="16">
        <f>IF(AND(E189&lt;&gt;"",F189&lt;&gt;""),E189*F189,"")</f>
        <v/>
      </c>
    </row>
    <row r="190">
      <c r="G190" s="16">
        <f>IF(AND(E190&lt;&gt;"",F190&lt;&gt;""),E190*F190,"")</f>
        <v/>
      </c>
    </row>
    <row r="191">
      <c r="G191" s="16">
        <f>IF(AND(E191&lt;&gt;"",F191&lt;&gt;""),E191*F191,"")</f>
        <v/>
      </c>
    </row>
    <row r="192">
      <c r="G192" s="16">
        <f>IF(AND(E192&lt;&gt;"",F192&lt;&gt;""),E192*F192,"")</f>
        <v/>
      </c>
    </row>
    <row r="193">
      <c r="G193" s="16">
        <f>IF(AND(E193&lt;&gt;"",F193&lt;&gt;""),E193*F193,"")</f>
        <v/>
      </c>
    </row>
    <row r="194">
      <c r="G194" s="16">
        <f>IF(AND(E194&lt;&gt;"",F194&lt;&gt;""),E194*F194,"")</f>
        <v/>
      </c>
    </row>
    <row r="195">
      <c r="G195" s="16">
        <f>IF(AND(E195&lt;&gt;"",F195&lt;&gt;""),E195*F195,"")</f>
        <v/>
      </c>
    </row>
    <row r="196">
      <c r="G196" s="16">
        <f>IF(AND(E196&lt;&gt;"",F196&lt;&gt;""),E196*F196,"")</f>
        <v/>
      </c>
    </row>
    <row r="197">
      <c r="G197" s="16">
        <f>IF(AND(E197&lt;&gt;"",F197&lt;&gt;""),E197*F197,"")</f>
        <v/>
      </c>
    </row>
    <row r="198">
      <c r="G198" s="16">
        <f>IF(AND(E198&lt;&gt;"",F198&lt;&gt;""),E198*F198,"")</f>
        <v/>
      </c>
    </row>
    <row r="199">
      <c r="G199" s="16">
        <f>IF(AND(E199&lt;&gt;"",F199&lt;&gt;""),E199*F199,"")</f>
        <v/>
      </c>
    </row>
    <row r="200">
      <c r="G200" s="16">
        <f>IF(AND(E200&lt;&gt;"",F200&lt;&gt;""),E200*F200,"")</f>
        <v/>
      </c>
    </row>
    <row r="201">
      <c r="G201" s="16">
        <f>IF(AND(E201&lt;&gt;"",F201&lt;&gt;""),E201*F201,"")</f>
        <v/>
      </c>
    </row>
    <row r="202">
      <c r="G202" s="16">
        <f>IF(AND(E202&lt;&gt;"",F202&lt;&gt;""),E202*F202,"")</f>
        <v/>
      </c>
    </row>
    <row r="203">
      <c r="G203" s="16">
        <f>IF(AND(E203&lt;&gt;"",F203&lt;&gt;""),E203*F203,"")</f>
        <v/>
      </c>
    </row>
    <row r="204">
      <c r="G204" s="16">
        <f>IF(AND(E204&lt;&gt;"",F204&lt;&gt;""),E204*F204,"")</f>
        <v/>
      </c>
    </row>
    <row r="205">
      <c r="G205" s="16">
        <f>IF(AND(E205&lt;&gt;"",F205&lt;&gt;""),E205*F205,"")</f>
        <v/>
      </c>
    </row>
    <row r="206">
      <c r="G206" s="16">
        <f>IF(AND(E206&lt;&gt;"",F206&lt;&gt;""),E206*F206,"")</f>
        <v/>
      </c>
    </row>
    <row r="207">
      <c r="G207" s="16">
        <f>IF(AND(E207&lt;&gt;"",F207&lt;&gt;""),E207*F207,"")</f>
        <v/>
      </c>
    </row>
    <row r="208">
      <c r="G208" s="16">
        <f>IF(AND(E208&lt;&gt;"",F208&lt;&gt;""),E208*F208,"")</f>
        <v/>
      </c>
    </row>
    <row r="209">
      <c r="G209" s="16">
        <f>IF(AND(E209&lt;&gt;"",F209&lt;&gt;""),E209*F209,"")</f>
        <v/>
      </c>
    </row>
    <row r="210">
      <c r="G210" s="16">
        <f>IF(AND(E210&lt;&gt;"",F210&lt;&gt;""),E210*F210,"")</f>
        <v/>
      </c>
    </row>
    <row r="211">
      <c r="G211" s="16">
        <f>IF(AND(E211&lt;&gt;"",F211&lt;&gt;""),E211*F211,"")</f>
        <v/>
      </c>
    </row>
    <row r="212">
      <c r="G212" s="16">
        <f>IF(AND(E212&lt;&gt;"",F212&lt;&gt;""),E212*F212,"")</f>
        <v/>
      </c>
    </row>
    <row r="213">
      <c r="G213" s="16">
        <f>IF(AND(E213&lt;&gt;"",F213&lt;&gt;""),E213*F213,"")</f>
        <v/>
      </c>
    </row>
    <row r="214">
      <c r="G214" s="16">
        <f>IF(AND(E214&lt;&gt;"",F214&lt;&gt;""),E214*F214,"")</f>
        <v/>
      </c>
    </row>
    <row r="215">
      <c r="G215" s="16">
        <f>IF(AND(E215&lt;&gt;"",F215&lt;&gt;""),E215*F215,"")</f>
        <v/>
      </c>
    </row>
    <row r="216">
      <c r="G216" s="16">
        <f>IF(AND(E216&lt;&gt;"",F216&lt;&gt;""),E216*F216,"")</f>
        <v/>
      </c>
    </row>
    <row r="217">
      <c r="G217" s="16">
        <f>IF(AND(E217&lt;&gt;"",F217&lt;&gt;""),E217*F217,"")</f>
        <v/>
      </c>
    </row>
    <row r="218">
      <c r="G218" s="16">
        <f>IF(AND(E218&lt;&gt;"",F218&lt;&gt;""),E218*F218,"")</f>
        <v/>
      </c>
    </row>
    <row r="219">
      <c r="G219" s="16">
        <f>IF(AND(E219&lt;&gt;"",F219&lt;&gt;""),E219*F219,"")</f>
        <v/>
      </c>
    </row>
    <row r="220">
      <c r="G220" s="16">
        <f>IF(AND(E220&lt;&gt;"",F220&lt;&gt;""),E220*F220,"")</f>
        <v/>
      </c>
    </row>
    <row r="221">
      <c r="G221" s="16">
        <f>IF(AND(E221&lt;&gt;"",F221&lt;&gt;""),E221*F221,"")</f>
        <v/>
      </c>
    </row>
    <row r="222">
      <c r="G222" s="16">
        <f>IF(AND(E222&lt;&gt;"",F222&lt;&gt;""),E222*F222,"")</f>
        <v/>
      </c>
    </row>
    <row r="223">
      <c r="G223" s="16">
        <f>IF(AND(E223&lt;&gt;"",F223&lt;&gt;""),E223*F223,"")</f>
        <v/>
      </c>
    </row>
    <row r="224">
      <c r="G224" s="16">
        <f>IF(AND(E224&lt;&gt;"",F224&lt;&gt;""),E224*F224,"")</f>
        <v/>
      </c>
    </row>
    <row r="225">
      <c r="G225" s="16">
        <f>IF(AND(E225&lt;&gt;"",F225&lt;&gt;""),E225*F225,"")</f>
        <v/>
      </c>
    </row>
    <row r="226">
      <c r="G226" s="16">
        <f>IF(AND(E226&lt;&gt;"",F226&lt;&gt;""),E226*F226,"")</f>
        <v/>
      </c>
    </row>
    <row r="227">
      <c r="G227" s="16">
        <f>IF(AND(E227&lt;&gt;"",F227&lt;&gt;""),E227*F227,"")</f>
        <v/>
      </c>
    </row>
    <row r="228">
      <c r="G228" s="16">
        <f>IF(AND(E228&lt;&gt;"",F228&lt;&gt;""),E228*F228,"")</f>
        <v/>
      </c>
    </row>
    <row r="229">
      <c r="G229" s="16">
        <f>IF(AND(E229&lt;&gt;"",F229&lt;&gt;""),E229*F229,"")</f>
        <v/>
      </c>
    </row>
    <row r="230">
      <c r="G230" s="16">
        <f>IF(AND(E230&lt;&gt;"",F230&lt;&gt;""),E230*F230,"")</f>
        <v/>
      </c>
    </row>
    <row r="231">
      <c r="G231" s="16">
        <f>IF(AND(E231&lt;&gt;"",F231&lt;&gt;""),E231*F231,"")</f>
        <v/>
      </c>
    </row>
    <row r="232">
      <c r="G232" s="16">
        <f>IF(AND(E232&lt;&gt;"",F232&lt;&gt;""),E232*F232,"")</f>
        <v/>
      </c>
    </row>
    <row r="233">
      <c r="G233" s="16">
        <f>IF(AND(E233&lt;&gt;"",F233&lt;&gt;""),E233*F233,"")</f>
        <v/>
      </c>
    </row>
    <row r="234">
      <c r="G234" s="16">
        <f>IF(AND(E234&lt;&gt;"",F234&lt;&gt;""),E234*F234,"")</f>
        <v/>
      </c>
    </row>
    <row r="235">
      <c r="G235" s="16">
        <f>IF(AND(E235&lt;&gt;"",F235&lt;&gt;""),E235*F235,"")</f>
        <v/>
      </c>
    </row>
    <row r="236">
      <c r="G236" s="16">
        <f>IF(AND(E236&lt;&gt;"",F236&lt;&gt;""),E236*F236,"")</f>
        <v/>
      </c>
    </row>
    <row r="237">
      <c r="G237" s="16">
        <f>IF(AND(E237&lt;&gt;"",F237&lt;&gt;""),E237*F237,"")</f>
        <v/>
      </c>
    </row>
    <row r="238">
      <c r="G238" s="16">
        <f>IF(AND(E238&lt;&gt;"",F238&lt;&gt;""),E238*F238,"")</f>
        <v/>
      </c>
    </row>
    <row r="239">
      <c r="G239" s="16">
        <f>IF(AND(E239&lt;&gt;"",F239&lt;&gt;""),E239*F239,"")</f>
        <v/>
      </c>
    </row>
    <row r="240">
      <c r="G240" s="16">
        <f>IF(AND(E240&lt;&gt;"",F240&lt;&gt;""),E240*F240,"")</f>
        <v/>
      </c>
    </row>
    <row r="241">
      <c r="G241" s="16">
        <f>IF(AND(E241&lt;&gt;"",F241&lt;&gt;""),E241*F241,"")</f>
        <v/>
      </c>
    </row>
    <row r="242">
      <c r="G242" s="16">
        <f>IF(AND(E242&lt;&gt;"",F242&lt;&gt;""),E242*F242,"")</f>
        <v/>
      </c>
    </row>
    <row r="243">
      <c r="G243" s="16">
        <f>IF(AND(E243&lt;&gt;"",F243&lt;&gt;""),E243*F243,"")</f>
        <v/>
      </c>
    </row>
    <row r="244">
      <c r="G244" s="16">
        <f>IF(AND(E244&lt;&gt;"",F244&lt;&gt;""),E244*F244,"")</f>
        <v/>
      </c>
    </row>
    <row r="245">
      <c r="G245" s="16">
        <f>IF(AND(E245&lt;&gt;"",F245&lt;&gt;""),E245*F245,"")</f>
        <v/>
      </c>
    </row>
    <row r="246">
      <c r="G246" s="16">
        <f>IF(AND(E246&lt;&gt;"",F246&lt;&gt;""),E246*F246,"")</f>
        <v/>
      </c>
    </row>
    <row r="247">
      <c r="G247" s="16">
        <f>IF(AND(E247&lt;&gt;"",F247&lt;&gt;""),E247*F247,"")</f>
        <v/>
      </c>
    </row>
    <row r="248">
      <c r="G248" s="16">
        <f>IF(AND(E248&lt;&gt;"",F248&lt;&gt;""),E248*F248,"")</f>
        <v/>
      </c>
    </row>
    <row r="249">
      <c r="G249" s="16">
        <f>IF(AND(E249&lt;&gt;"",F249&lt;&gt;""),E249*F249,"")</f>
        <v/>
      </c>
    </row>
    <row r="250">
      <c r="G250" s="16">
        <f>IF(AND(E250&lt;&gt;"",F250&lt;&gt;""),E250*F250,"")</f>
        <v/>
      </c>
    </row>
    <row r="251">
      <c r="G251" s="16">
        <f>IF(AND(E251&lt;&gt;"",F251&lt;&gt;""),E251*F251,"")</f>
        <v/>
      </c>
    </row>
    <row r="252">
      <c r="G252" s="16">
        <f>IF(AND(E252&lt;&gt;"",F252&lt;&gt;""),E252*F252,"")</f>
        <v/>
      </c>
    </row>
    <row r="253">
      <c r="G253" s="16">
        <f>IF(AND(E253&lt;&gt;"",F253&lt;&gt;""),E253*F253,"")</f>
        <v/>
      </c>
    </row>
    <row r="254">
      <c r="G254" s="16">
        <f>IF(AND(E254&lt;&gt;"",F254&lt;&gt;""),E254*F254,"")</f>
        <v/>
      </c>
    </row>
    <row r="255">
      <c r="G255" s="16">
        <f>IF(AND(E255&lt;&gt;"",F255&lt;&gt;""),E255*F255,"")</f>
        <v/>
      </c>
    </row>
    <row r="256">
      <c r="G256" s="16">
        <f>IF(AND(E256&lt;&gt;"",F256&lt;&gt;""),E256*F256,"")</f>
        <v/>
      </c>
    </row>
    <row r="257">
      <c r="G257" s="16">
        <f>IF(AND(E257&lt;&gt;"",F257&lt;&gt;""),E257*F257,"")</f>
        <v/>
      </c>
    </row>
    <row r="258">
      <c r="G258" s="16">
        <f>IF(AND(E258&lt;&gt;"",F258&lt;&gt;""),E258*F258,"")</f>
        <v/>
      </c>
    </row>
    <row r="259">
      <c r="G259" s="16">
        <f>IF(AND(E259&lt;&gt;"",F259&lt;&gt;""),E259*F259,"")</f>
        <v/>
      </c>
    </row>
    <row r="260">
      <c r="G260" s="16">
        <f>IF(AND(E260&lt;&gt;"",F260&lt;&gt;""),E260*F260,"")</f>
        <v/>
      </c>
    </row>
    <row r="261">
      <c r="G261" s="16">
        <f>IF(AND(E261&lt;&gt;"",F261&lt;&gt;""),E261*F261,"")</f>
        <v/>
      </c>
    </row>
    <row r="262">
      <c r="G262" s="16">
        <f>IF(AND(E262&lt;&gt;"",F262&lt;&gt;""),E262*F262,"")</f>
        <v/>
      </c>
    </row>
    <row r="263">
      <c r="G263" s="16">
        <f>IF(AND(E263&lt;&gt;"",F263&lt;&gt;""),E263*F263,"")</f>
        <v/>
      </c>
    </row>
    <row r="264">
      <c r="G264" s="16">
        <f>IF(AND(E264&lt;&gt;"",F264&lt;&gt;""),E264*F264,"")</f>
        <v/>
      </c>
    </row>
    <row r="265">
      <c r="G265" s="16">
        <f>IF(AND(E265&lt;&gt;"",F265&lt;&gt;""),E265*F265,"")</f>
        <v/>
      </c>
    </row>
    <row r="266">
      <c r="G266" s="16">
        <f>IF(AND(E266&lt;&gt;"",F266&lt;&gt;""),E266*F266,"")</f>
        <v/>
      </c>
    </row>
    <row r="267">
      <c r="G267" s="16">
        <f>IF(AND(E267&lt;&gt;"",F267&lt;&gt;""),E267*F267,"")</f>
        <v/>
      </c>
    </row>
    <row r="268">
      <c r="G268" s="16">
        <f>IF(AND(E268&lt;&gt;"",F268&lt;&gt;""),E268*F268,"")</f>
        <v/>
      </c>
    </row>
    <row r="269">
      <c r="G269" s="16">
        <f>IF(AND(E269&lt;&gt;"",F269&lt;&gt;""),E269*F269,"")</f>
        <v/>
      </c>
    </row>
    <row r="270">
      <c r="G270" s="16">
        <f>IF(AND(E270&lt;&gt;"",F270&lt;&gt;""),E270*F270,"")</f>
        <v/>
      </c>
    </row>
    <row r="271">
      <c r="G271" s="16">
        <f>IF(AND(E271&lt;&gt;"",F271&lt;&gt;""),E271*F271,"")</f>
        <v/>
      </c>
    </row>
    <row r="272">
      <c r="G272" s="16">
        <f>IF(AND(E272&lt;&gt;"",F272&lt;&gt;""),E272*F272,"")</f>
        <v/>
      </c>
    </row>
    <row r="273">
      <c r="G273" s="16">
        <f>IF(AND(E273&lt;&gt;"",F273&lt;&gt;""),E273*F273,"")</f>
        <v/>
      </c>
    </row>
    <row r="274">
      <c r="G274" s="16">
        <f>IF(AND(E274&lt;&gt;"",F274&lt;&gt;""),E274*F274,"")</f>
        <v/>
      </c>
    </row>
    <row r="275">
      <c r="G275" s="16">
        <f>IF(AND(E275&lt;&gt;"",F275&lt;&gt;""),E275*F275,"")</f>
        <v/>
      </c>
    </row>
    <row r="276">
      <c r="G276" s="16">
        <f>IF(AND(E276&lt;&gt;"",F276&lt;&gt;""),E276*F276,"")</f>
        <v/>
      </c>
    </row>
    <row r="277">
      <c r="G277" s="16">
        <f>IF(AND(E277&lt;&gt;"",F277&lt;&gt;""),E277*F277,"")</f>
        <v/>
      </c>
    </row>
    <row r="278">
      <c r="G278" s="16">
        <f>IF(AND(E278&lt;&gt;"",F278&lt;&gt;""),E278*F278,"")</f>
        <v/>
      </c>
    </row>
    <row r="279">
      <c r="G279" s="16">
        <f>IF(AND(E279&lt;&gt;"",F279&lt;&gt;""),E279*F279,"")</f>
        <v/>
      </c>
    </row>
    <row r="280">
      <c r="G280" s="16">
        <f>IF(AND(E280&lt;&gt;"",F280&lt;&gt;""),E280*F280,"")</f>
        <v/>
      </c>
    </row>
    <row r="281">
      <c r="G281" s="16">
        <f>IF(AND(E281&lt;&gt;"",F281&lt;&gt;""),E281*F281,"")</f>
        <v/>
      </c>
    </row>
    <row r="282">
      <c r="G282" s="16">
        <f>IF(AND(E282&lt;&gt;"",F282&lt;&gt;""),E282*F282,"")</f>
        <v/>
      </c>
    </row>
    <row r="283">
      <c r="G283" s="16">
        <f>IF(AND(E283&lt;&gt;"",F283&lt;&gt;""),E283*F283,"")</f>
        <v/>
      </c>
    </row>
    <row r="284">
      <c r="G284" s="16">
        <f>IF(AND(E284&lt;&gt;"",F284&lt;&gt;""),E284*F284,"")</f>
        <v/>
      </c>
    </row>
    <row r="285">
      <c r="G285" s="16">
        <f>IF(AND(E285&lt;&gt;"",F285&lt;&gt;""),E285*F285,"")</f>
        <v/>
      </c>
    </row>
    <row r="286">
      <c r="G286" s="16">
        <f>IF(AND(E286&lt;&gt;"",F286&lt;&gt;""),E286*F286,"")</f>
        <v/>
      </c>
    </row>
    <row r="287">
      <c r="G287" s="16">
        <f>IF(AND(E287&lt;&gt;"",F287&lt;&gt;""),E287*F287,"")</f>
        <v/>
      </c>
    </row>
    <row r="288">
      <c r="G288" s="16">
        <f>IF(AND(E288&lt;&gt;"",F288&lt;&gt;""),E288*F288,"")</f>
        <v/>
      </c>
    </row>
    <row r="289">
      <c r="G289" s="16">
        <f>IF(AND(E289&lt;&gt;"",F289&lt;&gt;""),E289*F289,"")</f>
        <v/>
      </c>
    </row>
    <row r="290">
      <c r="G290" s="16">
        <f>IF(AND(E290&lt;&gt;"",F290&lt;&gt;""),E290*F290,"")</f>
        <v/>
      </c>
    </row>
    <row r="291">
      <c r="G291" s="16">
        <f>IF(AND(E291&lt;&gt;"",F291&lt;&gt;""),E291*F291,"")</f>
        <v/>
      </c>
    </row>
    <row r="292">
      <c r="G292" s="16">
        <f>IF(AND(E292&lt;&gt;"",F292&lt;&gt;""),E292*F292,"")</f>
        <v/>
      </c>
    </row>
    <row r="293">
      <c r="G293" s="16">
        <f>IF(AND(E293&lt;&gt;"",F293&lt;&gt;""),E293*F293,"")</f>
        <v/>
      </c>
    </row>
    <row r="294">
      <c r="G294" s="16">
        <f>IF(AND(E294&lt;&gt;"",F294&lt;&gt;""),E294*F294,"")</f>
        <v/>
      </c>
    </row>
    <row r="295">
      <c r="G295" s="16">
        <f>IF(AND(E295&lt;&gt;"",F295&lt;&gt;""),E295*F295,"")</f>
        <v/>
      </c>
    </row>
    <row r="296">
      <c r="G296" s="16">
        <f>IF(AND(E296&lt;&gt;"",F296&lt;&gt;""),E296*F296,"")</f>
        <v/>
      </c>
    </row>
    <row r="297">
      <c r="G297" s="16">
        <f>IF(AND(E297&lt;&gt;"",F297&lt;&gt;""),E297*F297,"")</f>
        <v/>
      </c>
    </row>
    <row r="298">
      <c r="G298" s="16">
        <f>IF(AND(E298&lt;&gt;"",F298&lt;&gt;""),E298*F298,"")</f>
        <v/>
      </c>
    </row>
    <row r="299">
      <c r="G299" s="16">
        <f>IF(AND(E299&lt;&gt;"",F299&lt;&gt;""),E299*F299,"")</f>
        <v/>
      </c>
    </row>
    <row r="300">
      <c r="G300" s="16">
        <f>IF(AND(E300&lt;&gt;"",F300&lt;&gt;""),E300*F300,"")</f>
        <v/>
      </c>
    </row>
    <row r="301">
      <c r="G301" s="16">
        <f>IF(AND(E301&lt;&gt;"",F301&lt;&gt;""),E301*F301,"")</f>
        <v/>
      </c>
    </row>
    <row r="302">
      <c r="G302" s="16">
        <f>IF(AND(E302&lt;&gt;"",F302&lt;&gt;""),E302*F302,"")</f>
        <v/>
      </c>
    </row>
    <row r="303">
      <c r="G303" s="16">
        <f>IF(AND(E303&lt;&gt;"",F303&lt;&gt;""),E303*F303,"")</f>
        <v/>
      </c>
    </row>
    <row r="304">
      <c r="G304" s="16">
        <f>IF(AND(E304&lt;&gt;"",F304&lt;&gt;""),E304*F304,"")</f>
        <v/>
      </c>
    </row>
    <row r="305">
      <c r="G305" s="16">
        <f>IF(AND(E305&lt;&gt;"",F305&lt;&gt;""),E305*F305,"")</f>
        <v/>
      </c>
    </row>
    <row r="306">
      <c r="G306" s="16">
        <f>IF(AND(E306&lt;&gt;"",F306&lt;&gt;""),E306*F306,"")</f>
        <v/>
      </c>
    </row>
    <row r="307">
      <c r="G307" s="16">
        <f>IF(AND(E307&lt;&gt;"",F307&lt;&gt;""),E307*F307,"")</f>
        <v/>
      </c>
    </row>
    <row r="308">
      <c r="G308" s="16">
        <f>IF(AND(E308&lt;&gt;"",F308&lt;&gt;""),E308*F308,"")</f>
        <v/>
      </c>
    </row>
    <row r="309">
      <c r="G309" s="16">
        <f>IF(AND(E309&lt;&gt;"",F309&lt;&gt;""),E309*F309,"")</f>
        <v/>
      </c>
    </row>
    <row r="310">
      <c r="G310" s="16">
        <f>IF(AND(E310&lt;&gt;"",F310&lt;&gt;""),E310*F310,"")</f>
        <v/>
      </c>
    </row>
    <row r="311">
      <c r="G311" s="16">
        <f>IF(AND(E311&lt;&gt;"",F311&lt;&gt;""),E311*F311,"")</f>
        <v/>
      </c>
    </row>
    <row r="312">
      <c r="G312" s="16">
        <f>IF(AND(E312&lt;&gt;"",F312&lt;&gt;""),E312*F312,"")</f>
        <v/>
      </c>
    </row>
    <row r="313">
      <c r="G313" s="16">
        <f>IF(AND(E313&lt;&gt;"",F313&lt;&gt;""),E313*F313,"")</f>
        <v/>
      </c>
    </row>
    <row r="314">
      <c r="G314" s="16">
        <f>IF(AND(E314&lt;&gt;"",F314&lt;&gt;""),E314*F314,"")</f>
        <v/>
      </c>
    </row>
    <row r="315">
      <c r="G315" s="16">
        <f>IF(AND(E315&lt;&gt;"",F315&lt;&gt;""),E315*F315,"")</f>
        <v/>
      </c>
    </row>
    <row r="316">
      <c r="G316" s="16">
        <f>IF(AND(E316&lt;&gt;"",F316&lt;&gt;""),E316*F316,"")</f>
        <v/>
      </c>
    </row>
    <row r="317">
      <c r="G317" s="16">
        <f>IF(AND(E317&lt;&gt;"",F317&lt;&gt;""),E317*F317,"")</f>
        <v/>
      </c>
    </row>
    <row r="318">
      <c r="G318" s="16">
        <f>IF(AND(E318&lt;&gt;"",F318&lt;&gt;""),E318*F318,"")</f>
        <v/>
      </c>
    </row>
    <row r="319">
      <c r="G319" s="16">
        <f>IF(AND(E319&lt;&gt;"",F319&lt;&gt;""),E319*F319,"")</f>
        <v/>
      </c>
    </row>
    <row r="320">
      <c r="G320" s="16">
        <f>IF(AND(E320&lt;&gt;"",F320&lt;&gt;""),E320*F320,"")</f>
        <v/>
      </c>
    </row>
    <row r="321">
      <c r="G321" s="16">
        <f>IF(AND(E321&lt;&gt;"",F321&lt;&gt;""),E321*F321,"")</f>
        <v/>
      </c>
    </row>
    <row r="322">
      <c r="G322" s="16">
        <f>IF(AND(E322&lt;&gt;"",F322&lt;&gt;""),E322*F322,"")</f>
        <v/>
      </c>
    </row>
    <row r="323">
      <c r="G323" s="16">
        <f>IF(AND(E323&lt;&gt;"",F323&lt;&gt;""),E323*F323,"")</f>
        <v/>
      </c>
    </row>
    <row r="324">
      <c r="G324" s="16">
        <f>IF(AND(E324&lt;&gt;"",F324&lt;&gt;""),E324*F324,"")</f>
        <v/>
      </c>
    </row>
    <row r="325">
      <c r="G325" s="16">
        <f>IF(AND(E325&lt;&gt;"",F325&lt;&gt;""),E325*F325,"")</f>
        <v/>
      </c>
    </row>
    <row r="326">
      <c r="G326" s="16">
        <f>IF(AND(E326&lt;&gt;"",F326&lt;&gt;""),E326*F326,"")</f>
        <v/>
      </c>
    </row>
    <row r="327">
      <c r="G327" s="16">
        <f>IF(AND(E327&lt;&gt;"",F327&lt;&gt;""),E327*F327,"")</f>
        <v/>
      </c>
    </row>
    <row r="328">
      <c r="G328" s="16">
        <f>IF(AND(E328&lt;&gt;"",F328&lt;&gt;""),E328*F328,"")</f>
        <v/>
      </c>
    </row>
    <row r="329">
      <c r="G329" s="16">
        <f>IF(AND(E329&lt;&gt;"",F329&lt;&gt;""),E329*F329,"")</f>
        <v/>
      </c>
    </row>
    <row r="330">
      <c r="G330" s="16">
        <f>IF(AND(E330&lt;&gt;"",F330&lt;&gt;""),E330*F330,"")</f>
        <v/>
      </c>
    </row>
    <row r="331">
      <c r="G331" s="16">
        <f>IF(AND(E331&lt;&gt;"",F331&lt;&gt;""),E331*F331,"")</f>
        <v/>
      </c>
    </row>
    <row r="332">
      <c r="G332" s="16">
        <f>IF(AND(E332&lt;&gt;"",F332&lt;&gt;""),E332*F332,"")</f>
        <v/>
      </c>
    </row>
    <row r="333">
      <c r="G333" s="16">
        <f>IF(AND(E333&lt;&gt;"",F333&lt;&gt;""),E333*F333,"")</f>
        <v/>
      </c>
    </row>
    <row r="334">
      <c r="G334" s="16">
        <f>IF(AND(E334&lt;&gt;"",F334&lt;&gt;""),E334*F334,"")</f>
        <v/>
      </c>
    </row>
    <row r="335">
      <c r="G335" s="16">
        <f>IF(AND(E335&lt;&gt;"",F335&lt;&gt;""),E335*F335,"")</f>
        <v/>
      </c>
    </row>
    <row r="336">
      <c r="G336" s="16">
        <f>IF(AND(E336&lt;&gt;"",F336&lt;&gt;""),E336*F336,"")</f>
        <v/>
      </c>
    </row>
    <row r="337">
      <c r="G337" s="16">
        <f>IF(AND(E337&lt;&gt;"",F337&lt;&gt;""),E337*F337,"")</f>
        <v/>
      </c>
    </row>
    <row r="338">
      <c r="G338" s="16">
        <f>IF(AND(E338&lt;&gt;"",F338&lt;&gt;""),E338*F338,"")</f>
        <v/>
      </c>
    </row>
    <row r="339">
      <c r="G339" s="16">
        <f>IF(AND(E339&lt;&gt;"",F339&lt;&gt;""),E339*F339,"")</f>
        <v/>
      </c>
    </row>
    <row r="340">
      <c r="G340" s="16">
        <f>IF(AND(E340&lt;&gt;"",F340&lt;&gt;""),E340*F340,"")</f>
        <v/>
      </c>
    </row>
    <row r="341">
      <c r="G341" s="16">
        <f>IF(AND(E341&lt;&gt;"",F341&lt;&gt;""),E341*F341,"")</f>
        <v/>
      </c>
    </row>
    <row r="342">
      <c r="G342" s="16">
        <f>IF(AND(E342&lt;&gt;"",F342&lt;&gt;""),E342*F342,"")</f>
        <v/>
      </c>
    </row>
    <row r="343">
      <c r="G343" s="16">
        <f>IF(AND(E343&lt;&gt;"",F343&lt;&gt;""),E343*F343,"")</f>
        <v/>
      </c>
    </row>
    <row r="344">
      <c r="G344" s="16">
        <f>IF(AND(E344&lt;&gt;"",F344&lt;&gt;""),E344*F344,"")</f>
        <v/>
      </c>
    </row>
    <row r="345">
      <c r="G345" s="16">
        <f>IF(AND(E345&lt;&gt;"",F345&lt;&gt;""),E345*F345,"")</f>
        <v/>
      </c>
    </row>
    <row r="346">
      <c r="G346" s="16">
        <f>IF(AND(E346&lt;&gt;"",F346&lt;&gt;""),E346*F346,"")</f>
        <v/>
      </c>
    </row>
    <row r="347">
      <c r="G347" s="16">
        <f>IF(AND(E347&lt;&gt;"",F347&lt;&gt;""),E347*F347,"")</f>
        <v/>
      </c>
    </row>
    <row r="348">
      <c r="G348" s="16">
        <f>IF(AND(E348&lt;&gt;"",F348&lt;&gt;""),E348*F348,"")</f>
        <v/>
      </c>
    </row>
    <row r="349">
      <c r="G349" s="16">
        <f>IF(AND(E349&lt;&gt;"",F349&lt;&gt;""),E349*F349,"")</f>
        <v/>
      </c>
    </row>
    <row r="350">
      <c r="G350" s="16">
        <f>IF(AND(E350&lt;&gt;"",F350&lt;&gt;""),E350*F350,"")</f>
        <v/>
      </c>
    </row>
    <row r="351">
      <c r="G351" s="16">
        <f>IF(AND(E351&lt;&gt;"",F351&lt;&gt;""),E351*F351,"")</f>
        <v/>
      </c>
    </row>
    <row r="352">
      <c r="G352" s="16">
        <f>IF(AND(E352&lt;&gt;"",F352&lt;&gt;""),E352*F352,"")</f>
        <v/>
      </c>
    </row>
    <row r="353">
      <c r="G353" s="16">
        <f>IF(AND(E353&lt;&gt;"",F353&lt;&gt;""),E353*F353,"")</f>
        <v/>
      </c>
    </row>
    <row r="354">
      <c r="G354" s="16">
        <f>IF(AND(E354&lt;&gt;"",F354&lt;&gt;""),E354*F354,"")</f>
        <v/>
      </c>
    </row>
    <row r="355">
      <c r="G355" s="16">
        <f>IF(AND(E355&lt;&gt;"",F355&lt;&gt;""),E355*F355,"")</f>
        <v/>
      </c>
    </row>
    <row r="356">
      <c r="G356" s="16">
        <f>IF(AND(E356&lt;&gt;"",F356&lt;&gt;""),E356*F356,"")</f>
        <v/>
      </c>
    </row>
    <row r="357">
      <c r="G357" s="16">
        <f>IF(AND(E357&lt;&gt;"",F357&lt;&gt;""),E357*F357,"")</f>
        <v/>
      </c>
    </row>
    <row r="358">
      <c r="G358" s="16">
        <f>IF(AND(E358&lt;&gt;"",F358&lt;&gt;""),E358*F358,"")</f>
        <v/>
      </c>
    </row>
    <row r="359">
      <c r="G359" s="16">
        <f>IF(AND(E359&lt;&gt;"",F359&lt;&gt;""),E359*F359,"")</f>
        <v/>
      </c>
    </row>
    <row r="360">
      <c r="G360" s="16">
        <f>IF(AND(E360&lt;&gt;"",F360&lt;&gt;""),E360*F360,"")</f>
        <v/>
      </c>
    </row>
    <row r="361">
      <c r="G361" s="16">
        <f>IF(AND(E361&lt;&gt;"",F361&lt;&gt;""),E361*F361,"")</f>
        <v/>
      </c>
    </row>
    <row r="362">
      <c r="G362" s="16">
        <f>IF(AND(E362&lt;&gt;"",F362&lt;&gt;""),E362*F362,"")</f>
        <v/>
      </c>
    </row>
    <row r="363">
      <c r="G363" s="16">
        <f>IF(AND(E363&lt;&gt;"",F363&lt;&gt;""),E363*F363,"")</f>
        <v/>
      </c>
    </row>
    <row r="364">
      <c r="G364" s="16">
        <f>IF(AND(E364&lt;&gt;"",F364&lt;&gt;""),E364*F364,"")</f>
        <v/>
      </c>
    </row>
    <row r="365">
      <c r="G365" s="16">
        <f>IF(AND(E365&lt;&gt;"",F365&lt;&gt;""),E365*F365,"")</f>
        <v/>
      </c>
    </row>
    <row r="366">
      <c r="G366" s="16">
        <f>IF(AND(E366&lt;&gt;"",F366&lt;&gt;""),E366*F366,"")</f>
        <v/>
      </c>
    </row>
    <row r="367">
      <c r="G367" s="16">
        <f>IF(AND(E367&lt;&gt;"",F367&lt;&gt;""),E367*F367,"")</f>
        <v/>
      </c>
    </row>
    <row r="368">
      <c r="G368" s="16">
        <f>IF(AND(E368&lt;&gt;"",F368&lt;&gt;""),E368*F368,"")</f>
        <v/>
      </c>
    </row>
    <row r="369">
      <c r="G369" s="16">
        <f>IF(AND(E369&lt;&gt;"",F369&lt;&gt;""),E369*F369,"")</f>
        <v/>
      </c>
    </row>
    <row r="370">
      <c r="G370" s="16">
        <f>IF(AND(E370&lt;&gt;"",F370&lt;&gt;""),E370*F370,"")</f>
        <v/>
      </c>
    </row>
    <row r="371">
      <c r="G371" s="16">
        <f>IF(AND(E371&lt;&gt;"",F371&lt;&gt;""),E371*F371,"")</f>
        <v/>
      </c>
    </row>
    <row r="372">
      <c r="G372" s="16">
        <f>IF(AND(E372&lt;&gt;"",F372&lt;&gt;""),E372*F372,"")</f>
        <v/>
      </c>
    </row>
    <row r="373">
      <c r="G373" s="16">
        <f>IF(AND(E373&lt;&gt;"",F373&lt;&gt;""),E373*F373,"")</f>
        <v/>
      </c>
    </row>
    <row r="374">
      <c r="G374" s="16">
        <f>IF(AND(E374&lt;&gt;"",F374&lt;&gt;""),E374*F374,"")</f>
        <v/>
      </c>
    </row>
    <row r="375">
      <c r="G375" s="16">
        <f>IF(AND(E375&lt;&gt;"",F375&lt;&gt;""),E375*F375,"")</f>
        <v/>
      </c>
    </row>
    <row r="376">
      <c r="G376" s="16">
        <f>IF(AND(E376&lt;&gt;"",F376&lt;&gt;""),E376*F376,"")</f>
        <v/>
      </c>
    </row>
    <row r="377">
      <c r="G377" s="16">
        <f>IF(AND(E377&lt;&gt;"",F377&lt;&gt;""),E377*F377,"")</f>
        <v/>
      </c>
    </row>
    <row r="378">
      <c r="G378" s="16">
        <f>IF(AND(E378&lt;&gt;"",F378&lt;&gt;""),E378*F378,"")</f>
        <v/>
      </c>
    </row>
    <row r="379">
      <c r="G379" s="16">
        <f>IF(AND(E379&lt;&gt;"",F379&lt;&gt;""),E379*F379,"")</f>
        <v/>
      </c>
    </row>
    <row r="380">
      <c r="G380" s="16">
        <f>IF(AND(E380&lt;&gt;"",F380&lt;&gt;""),E380*F380,"")</f>
        <v/>
      </c>
    </row>
    <row r="381">
      <c r="G381" s="16">
        <f>IF(AND(E381&lt;&gt;"",F381&lt;&gt;""),E381*F381,"")</f>
        <v/>
      </c>
    </row>
    <row r="382">
      <c r="G382" s="16">
        <f>IF(AND(E382&lt;&gt;"",F382&lt;&gt;""),E382*F382,"")</f>
        <v/>
      </c>
    </row>
    <row r="383">
      <c r="G383" s="16">
        <f>IF(AND(E383&lt;&gt;"",F383&lt;&gt;""),E383*F383,"")</f>
        <v/>
      </c>
    </row>
    <row r="384">
      <c r="G384" s="16">
        <f>IF(AND(E384&lt;&gt;"",F384&lt;&gt;""),E384*F384,"")</f>
        <v/>
      </c>
    </row>
    <row r="385">
      <c r="G385" s="16">
        <f>IF(AND(E385&lt;&gt;"",F385&lt;&gt;""),E385*F385,"")</f>
        <v/>
      </c>
    </row>
    <row r="386">
      <c r="G386" s="16">
        <f>IF(AND(E386&lt;&gt;"",F386&lt;&gt;""),E386*F386,"")</f>
        <v/>
      </c>
    </row>
    <row r="387">
      <c r="G387" s="16">
        <f>IF(AND(E387&lt;&gt;"",F387&lt;&gt;""),E387*F387,"")</f>
        <v/>
      </c>
    </row>
    <row r="388">
      <c r="G388" s="16">
        <f>IF(AND(E388&lt;&gt;"",F388&lt;&gt;""),E388*F388,"")</f>
        <v/>
      </c>
    </row>
    <row r="389">
      <c r="G389" s="16">
        <f>IF(AND(E389&lt;&gt;"",F389&lt;&gt;""),E389*F389,"")</f>
        <v/>
      </c>
    </row>
    <row r="390">
      <c r="G390" s="16">
        <f>IF(AND(E390&lt;&gt;"",F390&lt;&gt;""),E390*F390,"")</f>
        <v/>
      </c>
    </row>
    <row r="391">
      <c r="G391" s="16">
        <f>IF(AND(E391&lt;&gt;"",F391&lt;&gt;""),E391*F391,"")</f>
        <v/>
      </c>
    </row>
    <row r="392">
      <c r="G392" s="16">
        <f>IF(AND(E392&lt;&gt;"",F392&lt;&gt;""),E392*F392,"")</f>
        <v/>
      </c>
    </row>
    <row r="393">
      <c r="G393" s="16">
        <f>IF(AND(E393&lt;&gt;"",F393&lt;&gt;""),E393*F393,"")</f>
        <v/>
      </c>
    </row>
    <row r="394">
      <c r="G394" s="16">
        <f>IF(AND(E394&lt;&gt;"",F394&lt;&gt;""),E394*F394,"")</f>
        <v/>
      </c>
    </row>
    <row r="395">
      <c r="G395" s="16">
        <f>IF(AND(E395&lt;&gt;"",F395&lt;&gt;""),E395*F395,"")</f>
        <v/>
      </c>
    </row>
    <row r="396">
      <c r="G396" s="16">
        <f>IF(AND(E396&lt;&gt;"",F396&lt;&gt;""),E396*F396,"")</f>
        <v/>
      </c>
    </row>
    <row r="397">
      <c r="G397" s="16">
        <f>IF(AND(E397&lt;&gt;"",F397&lt;&gt;""),E397*F397,"")</f>
        <v/>
      </c>
    </row>
    <row r="398">
      <c r="G398" s="16">
        <f>IF(AND(E398&lt;&gt;"",F398&lt;&gt;""),E398*F398,"")</f>
        <v/>
      </c>
    </row>
    <row r="399">
      <c r="G399" s="16">
        <f>IF(AND(E399&lt;&gt;"",F399&lt;&gt;""),E399*F399,"")</f>
        <v/>
      </c>
    </row>
    <row r="400">
      <c r="G400" s="16">
        <f>IF(AND(E400&lt;&gt;"",F400&lt;&gt;""),E400*F400,"")</f>
        <v/>
      </c>
    </row>
    <row r="401">
      <c r="G401" s="16">
        <f>IF(AND(E401&lt;&gt;"",F401&lt;&gt;""),E401*F401,"")</f>
        <v/>
      </c>
    </row>
    <row r="402">
      <c r="G402" s="16">
        <f>IF(AND(E402&lt;&gt;"",F402&lt;&gt;""),E402*F402,"")</f>
        <v/>
      </c>
    </row>
    <row r="403">
      <c r="G403" s="16">
        <f>IF(AND(E403&lt;&gt;"",F403&lt;&gt;""),E403*F403,"")</f>
        <v/>
      </c>
    </row>
    <row r="404">
      <c r="G404" s="16">
        <f>IF(AND(E404&lt;&gt;"",F404&lt;&gt;""),E404*F404,"")</f>
        <v/>
      </c>
    </row>
    <row r="405">
      <c r="G405" s="16">
        <f>IF(AND(E405&lt;&gt;"",F405&lt;&gt;""),E405*F405,"")</f>
        <v/>
      </c>
    </row>
    <row r="406">
      <c r="G406" s="16">
        <f>IF(AND(E406&lt;&gt;"",F406&lt;&gt;""),E406*F406,"")</f>
        <v/>
      </c>
    </row>
    <row r="407">
      <c r="G407" s="16">
        <f>IF(AND(E407&lt;&gt;"",F407&lt;&gt;""),E407*F407,"")</f>
        <v/>
      </c>
    </row>
    <row r="408">
      <c r="G408" s="16">
        <f>IF(AND(E408&lt;&gt;"",F408&lt;&gt;""),E408*F408,"")</f>
        <v/>
      </c>
    </row>
    <row r="409">
      <c r="G409" s="16">
        <f>IF(AND(E409&lt;&gt;"",F409&lt;&gt;""),E409*F409,"")</f>
        <v/>
      </c>
    </row>
    <row r="410">
      <c r="G410" s="16">
        <f>IF(AND(E410&lt;&gt;"",F410&lt;&gt;""),E410*F410,"")</f>
        <v/>
      </c>
    </row>
    <row r="411">
      <c r="G411" s="16">
        <f>IF(AND(E411&lt;&gt;"",F411&lt;&gt;""),E411*F411,"")</f>
        <v/>
      </c>
    </row>
    <row r="412">
      <c r="G412" s="16">
        <f>IF(AND(E412&lt;&gt;"",F412&lt;&gt;""),E412*F412,"")</f>
        <v/>
      </c>
    </row>
    <row r="413">
      <c r="G413" s="16">
        <f>IF(AND(E413&lt;&gt;"",F413&lt;&gt;""),E413*F413,"")</f>
        <v/>
      </c>
    </row>
    <row r="414">
      <c r="G414" s="16">
        <f>IF(AND(E414&lt;&gt;"",F414&lt;&gt;""),E414*F414,"")</f>
        <v/>
      </c>
    </row>
    <row r="415">
      <c r="G415" s="16">
        <f>IF(AND(E415&lt;&gt;"",F415&lt;&gt;""),E415*F415,"")</f>
        <v/>
      </c>
    </row>
    <row r="416">
      <c r="G416" s="16">
        <f>IF(AND(E416&lt;&gt;"",F416&lt;&gt;""),E416*F416,"")</f>
        <v/>
      </c>
    </row>
    <row r="417">
      <c r="G417" s="16">
        <f>IF(AND(E417&lt;&gt;"",F417&lt;&gt;""),E417*F417,"")</f>
        <v/>
      </c>
    </row>
    <row r="418">
      <c r="G418" s="16">
        <f>IF(AND(E418&lt;&gt;"",F418&lt;&gt;""),E418*F418,"")</f>
        <v/>
      </c>
    </row>
    <row r="419">
      <c r="G419" s="16">
        <f>IF(AND(E419&lt;&gt;"",F419&lt;&gt;""),E419*F419,"")</f>
        <v/>
      </c>
    </row>
    <row r="420">
      <c r="G420" s="16">
        <f>IF(AND(E420&lt;&gt;"",F420&lt;&gt;""),E420*F420,"")</f>
        <v/>
      </c>
    </row>
    <row r="421">
      <c r="G421" s="16">
        <f>IF(AND(E421&lt;&gt;"",F421&lt;&gt;""),E421*F421,"")</f>
        <v/>
      </c>
    </row>
    <row r="422">
      <c r="G422" s="16">
        <f>IF(AND(E422&lt;&gt;"",F422&lt;&gt;""),E422*F422,"")</f>
        <v/>
      </c>
    </row>
    <row r="423">
      <c r="G423" s="16">
        <f>IF(AND(E423&lt;&gt;"",F423&lt;&gt;""),E423*F423,"")</f>
        <v/>
      </c>
    </row>
    <row r="424">
      <c r="G424" s="16">
        <f>IF(AND(E424&lt;&gt;"",F424&lt;&gt;""),E424*F424,"")</f>
        <v/>
      </c>
    </row>
    <row r="425">
      <c r="G425" s="16">
        <f>IF(AND(E425&lt;&gt;"",F425&lt;&gt;""),E425*F425,"")</f>
        <v/>
      </c>
    </row>
    <row r="426">
      <c r="G426" s="16">
        <f>IF(AND(E426&lt;&gt;"",F426&lt;&gt;""),E426*F426,"")</f>
        <v/>
      </c>
    </row>
    <row r="427">
      <c r="G427" s="16">
        <f>IF(AND(E427&lt;&gt;"",F427&lt;&gt;""),E427*F427,"")</f>
        <v/>
      </c>
    </row>
    <row r="428">
      <c r="G428" s="16">
        <f>IF(AND(E428&lt;&gt;"",F428&lt;&gt;""),E428*F428,"")</f>
        <v/>
      </c>
    </row>
    <row r="429">
      <c r="G429" s="16">
        <f>IF(AND(E429&lt;&gt;"",F429&lt;&gt;""),E429*F429,"")</f>
        <v/>
      </c>
    </row>
    <row r="430">
      <c r="G430" s="16">
        <f>IF(AND(E430&lt;&gt;"",F430&lt;&gt;""),E430*F430,"")</f>
        <v/>
      </c>
    </row>
    <row r="431">
      <c r="G431" s="16">
        <f>IF(AND(E431&lt;&gt;"",F431&lt;&gt;""),E431*F431,"")</f>
        <v/>
      </c>
    </row>
    <row r="432">
      <c r="G432" s="16">
        <f>IF(AND(E432&lt;&gt;"",F432&lt;&gt;""),E432*F432,"")</f>
        <v/>
      </c>
    </row>
    <row r="433">
      <c r="G433" s="16">
        <f>IF(AND(E433&lt;&gt;"",F433&lt;&gt;""),E433*F433,"")</f>
        <v/>
      </c>
    </row>
    <row r="434">
      <c r="G434" s="16">
        <f>IF(AND(E434&lt;&gt;"",F434&lt;&gt;""),E434*F434,"")</f>
        <v/>
      </c>
    </row>
    <row r="435">
      <c r="G435" s="16">
        <f>IF(AND(E435&lt;&gt;"",F435&lt;&gt;""),E435*F435,"")</f>
        <v/>
      </c>
    </row>
    <row r="436">
      <c r="G436" s="16">
        <f>IF(AND(E436&lt;&gt;"",F436&lt;&gt;""),E436*F436,"")</f>
        <v/>
      </c>
    </row>
    <row r="437">
      <c r="G437" s="16">
        <f>IF(AND(E437&lt;&gt;"",F437&lt;&gt;""),E437*F437,"")</f>
        <v/>
      </c>
    </row>
    <row r="438">
      <c r="G438" s="16">
        <f>IF(AND(E438&lt;&gt;"",F438&lt;&gt;""),E438*F438,"")</f>
        <v/>
      </c>
    </row>
    <row r="439">
      <c r="G439" s="16">
        <f>IF(AND(E439&lt;&gt;"",F439&lt;&gt;""),E439*F439,"")</f>
        <v/>
      </c>
    </row>
    <row r="440">
      <c r="G440" s="16">
        <f>IF(AND(E440&lt;&gt;"",F440&lt;&gt;""),E440*F440,"")</f>
        <v/>
      </c>
    </row>
    <row r="441">
      <c r="G441" s="16">
        <f>IF(AND(E441&lt;&gt;"",F441&lt;&gt;""),E441*F441,"")</f>
        <v/>
      </c>
    </row>
    <row r="442">
      <c r="G442" s="16">
        <f>IF(AND(E442&lt;&gt;"",F442&lt;&gt;""),E442*F442,"")</f>
        <v/>
      </c>
    </row>
    <row r="443">
      <c r="G443" s="16">
        <f>IF(AND(E443&lt;&gt;"",F443&lt;&gt;""),E443*F443,"")</f>
        <v/>
      </c>
    </row>
    <row r="444">
      <c r="G444" s="16">
        <f>IF(AND(E444&lt;&gt;"",F444&lt;&gt;""),E444*F444,"")</f>
        <v/>
      </c>
    </row>
    <row r="445">
      <c r="G445" s="16">
        <f>IF(AND(E445&lt;&gt;"",F445&lt;&gt;""),E445*F445,"")</f>
        <v/>
      </c>
    </row>
    <row r="446">
      <c r="G446" s="16">
        <f>IF(AND(E446&lt;&gt;"",F446&lt;&gt;""),E446*F446,"")</f>
        <v/>
      </c>
    </row>
    <row r="447">
      <c r="G447" s="16">
        <f>IF(AND(E447&lt;&gt;"",F447&lt;&gt;""),E447*F447,"")</f>
        <v/>
      </c>
    </row>
    <row r="448">
      <c r="G448" s="16">
        <f>IF(AND(E448&lt;&gt;"",F448&lt;&gt;""),E448*F448,"")</f>
        <v/>
      </c>
    </row>
    <row r="449">
      <c r="G449" s="16">
        <f>IF(AND(E449&lt;&gt;"",F449&lt;&gt;""),E449*F449,"")</f>
        <v/>
      </c>
    </row>
    <row r="450">
      <c r="G450" s="16">
        <f>IF(AND(E450&lt;&gt;"",F450&lt;&gt;""),E450*F450,"")</f>
        <v/>
      </c>
    </row>
    <row r="451">
      <c r="G451" s="16">
        <f>IF(AND(E451&lt;&gt;"",F451&lt;&gt;""),E451*F451,"")</f>
        <v/>
      </c>
    </row>
    <row r="452">
      <c r="G452" s="16">
        <f>IF(AND(E452&lt;&gt;"",F452&lt;&gt;""),E452*F452,"")</f>
        <v/>
      </c>
    </row>
    <row r="453">
      <c r="G453" s="16">
        <f>IF(AND(E453&lt;&gt;"",F453&lt;&gt;""),E453*F453,"")</f>
        <v/>
      </c>
    </row>
    <row r="454">
      <c r="G454" s="16">
        <f>IF(AND(E454&lt;&gt;"",F454&lt;&gt;""),E454*F454,"")</f>
        <v/>
      </c>
    </row>
    <row r="455">
      <c r="G455" s="16">
        <f>IF(AND(E455&lt;&gt;"",F455&lt;&gt;""),E455*F455,"")</f>
        <v/>
      </c>
    </row>
    <row r="456">
      <c r="G456" s="16">
        <f>IF(AND(E456&lt;&gt;"",F456&lt;&gt;""),E456*F456,"")</f>
        <v/>
      </c>
    </row>
    <row r="457">
      <c r="G457" s="16">
        <f>IF(AND(E457&lt;&gt;"",F457&lt;&gt;""),E457*F457,"")</f>
        <v/>
      </c>
    </row>
    <row r="458">
      <c r="G458" s="16">
        <f>IF(AND(E458&lt;&gt;"",F458&lt;&gt;""),E458*F458,"")</f>
        <v/>
      </c>
    </row>
    <row r="459">
      <c r="G459" s="16">
        <f>IF(AND(E459&lt;&gt;"",F459&lt;&gt;""),E459*F459,"")</f>
        <v/>
      </c>
    </row>
    <row r="460">
      <c r="G460" s="16">
        <f>IF(AND(E460&lt;&gt;"",F460&lt;&gt;""),E460*F460,"")</f>
        <v/>
      </c>
    </row>
    <row r="461">
      <c r="G461" s="16">
        <f>IF(AND(E461&lt;&gt;"",F461&lt;&gt;""),E461*F461,"")</f>
        <v/>
      </c>
    </row>
    <row r="462">
      <c r="G462" s="16">
        <f>IF(AND(E462&lt;&gt;"",F462&lt;&gt;""),E462*F462,"")</f>
        <v/>
      </c>
    </row>
    <row r="463">
      <c r="G463" s="16">
        <f>IF(AND(E463&lt;&gt;"",F463&lt;&gt;""),E463*F463,"")</f>
        <v/>
      </c>
    </row>
    <row r="464">
      <c r="G464" s="16">
        <f>IF(AND(E464&lt;&gt;"",F464&lt;&gt;""),E464*F464,"")</f>
        <v/>
      </c>
    </row>
    <row r="465">
      <c r="G465" s="16">
        <f>IF(AND(E465&lt;&gt;"",F465&lt;&gt;""),E465*F465,"")</f>
        <v/>
      </c>
    </row>
    <row r="466">
      <c r="G466" s="16">
        <f>IF(AND(E466&lt;&gt;"",F466&lt;&gt;""),E466*F466,"")</f>
        <v/>
      </c>
    </row>
    <row r="467">
      <c r="G467" s="16">
        <f>IF(AND(E467&lt;&gt;"",F467&lt;&gt;""),E467*F467,"")</f>
        <v/>
      </c>
    </row>
    <row r="468">
      <c r="G468" s="16">
        <f>IF(AND(E468&lt;&gt;"",F468&lt;&gt;""),E468*F468,"")</f>
        <v/>
      </c>
    </row>
    <row r="469">
      <c r="G469" s="16">
        <f>IF(AND(E469&lt;&gt;"",F469&lt;&gt;""),E469*F469,"")</f>
        <v/>
      </c>
    </row>
    <row r="470">
      <c r="G470" s="16">
        <f>IF(AND(E470&lt;&gt;"",F470&lt;&gt;""),E470*F470,"")</f>
        <v/>
      </c>
    </row>
    <row r="471">
      <c r="G471" s="16">
        <f>IF(AND(E471&lt;&gt;"",F471&lt;&gt;""),E471*F471,"")</f>
        <v/>
      </c>
    </row>
    <row r="472">
      <c r="G472" s="16">
        <f>IF(AND(E472&lt;&gt;"",F472&lt;&gt;""),E472*F472,"")</f>
        <v/>
      </c>
    </row>
    <row r="473">
      <c r="G473" s="16">
        <f>IF(AND(E473&lt;&gt;"",F473&lt;&gt;""),E473*F473,"")</f>
        <v/>
      </c>
    </row>
    <row r="474">
      <c r="G474" s="16">
        <f>IF(AND(E474&lt;&gt;"",F474&lt;&gt;""),E474*F474,"")</f>
        <v/>
      </c>
    </row>
    <row r="475">
      <c r="G475" s="16">
        <f>IF(AND(E475&lt;&gt;"",F475&lt;&gt;""),E475*F475,"")</f>
        <v/>
      </c>
    </row>
    <row r="476">
      <c r="G476" s="16">
        <f>IF(AND(E476&lt;&gt;"",F476&lt;&gt;""),E476*F476,"")</f>
        <v/>
      </c>
    </row>
    <row r="477">
      <c r="G477" s="16">
        <f>IF(AND(E477&lt;&gt;"",F477&lt;&gt;""),E477*F477,"")</f>
        <v/>
      </c>
    </row>
    <row r="478">
      <c r="G478" s="16">
        <f>IF(AND(E478&lt;&gt;"",F478&lt;&gt;""),E478*F478,"")</f>
        <v/>
      </c>
    </row>
    <row r="479">
      <c r="G479" s="16">
        <f>IF(AND(E479&lt;&gt;"",F479&lt;&gt;""),E479*F479,"")</f>
        <v/>
      </c>
    </row>
    <row r="480">
      <c r="G480" s="16">
        <f>IF(AND(E480&lt;&gt;"",F480&lt;&gt;""),E480*F480,"")</f>
        <v/>
      </c>
    </row>
    <row r="481">
      <c r="G481" s="16">
        <f>IF(AND(E481&lt;&gt;"",F481&lt;&gt;""),E481*F481,"")</f>
        <v/>
      </c>
    </row>
    <row r="482">
      <c r="G482" s="16">
        <f>IF(AND(E482&lt;&gt;"",F482&lt;&gt;""),E482*F482,"")</f>
        <v/>
      </c>
    </row>
    <row r="483">
      <c r="G483" s="16">
        <f>IF(AND(E483&lt;&gt;"",F483&lt;&gt;""),E483*F483,"")</f>
        <v/>
      </c>
    </row>
    <row r="484">
      <c r="G484" s="16">
        <f>IF(AND(E484&lt;&gt;"",F484&lt;&gt;""),E484*F484,"")</f>
        <v/>
      </c>
    </row>
    <row r="485">
      <c r="G485" s="16">
        <f>IF(AND(E485&lt;&gt;"",F485&lt;&gt;""),E485*F485,"")</f>
        <v/>
      </c>
    </row>
    <row r="486">
      <c r="G486" s="16">
        <f>IF(AND(E486&lt;&gt;"",F486&lt;&gt;""),E486*F486,"")</f>
        <v/>
      </c>
    </row>
    <row r="487">
      <c r="G487" s="16">
        <f>IF(AND(E487&lt;&gt;"",F487&lt;&gt;""),E487*F487,"")</f>
        <v/>
      </c>
    </row>
    <row r="488">
      <c r="G488" s="16">
        <f>IF(AND(E488&lt;&gt;"",F488&lt;&gt;""),E488*F488,"")</f>
        <v/>
      </c>
    </row>
    <row r="489">
      <c r="G489" s="16">
        <f>IF(AND(E489&lt;&gt;"",F489&lt;&gt;""),E489*F489,"")</f>
        <v/>
      </c>
    </row>
    <row r="490">
      <c r="G490" s="16">
        <f>IF(AND(E490&lt;&gt;"",F490&lt;&gt;""),E490*F490,"")</f>
        <v/>
      </c>
    </row>
    <row r="491">
      <c r="G491" s="16">
        <f>IF(AND(E491&lt;&gt;"",F491&lt;&gt;""),E491*F491,"")</f>
        <v/>
      </c>
    </row>
    <row r="492">
      <c r="G492" s="16">
        <f>IF(AND(E492&lt;&gt;"",F492&lt;&gt;""),E492*F492,"")</f>
        <v/>
      </c>
    </row>
    <row r="493">
      <c r="G493" s="16">
        <f>IF(AND(E493&lt;&gt;"",F493&lt;&gt;""),E493*F493,"")</f>
        <v/>
      </c>
    </row>
    <row r="494">
      <c r="G494" s="16">
        <f>IF(AND(E494&lt;&gt;"",F494&lt;&gt;""),E494*F494,"")</f>
        <v/>
      </c>
    </row>
    <row r="495">
      <c r="G495" s="16">
        <f>IF(AND(E495&lt;&gt;"",F495&lt;&gt;""),E495*F495,"")</f>
        <v/>
      </c>
    </row>
    <row r="496">
      <c r="G496" s="16">
        <f>IF(AND(E496&lt;&gt;"",F496&lt;&gt;""),E496*F496,"")</f>
        <v/>
      </c>
    </row>
    <row r="497">
      <c r="G497" s="16">
        <f>IF(AND(E497&lt;&gt;"",F497&lt;&gt;""),E497*F497,"")</f>
        <v/>
      </c>
    </row>
    <row r="498">
      <c r="G498" s="16">
        <f>IF(AND(E498&lt;&gt;"",F498&lt;&gt;""),E498*F498,"")</f>
        <v/>
      </c>
    </row>
    <row r="499">
      <c r="G499" s="16">
        <f>IF(AND(E499&lt;&gt;"",F499&lt;&gt;""),E499*F499,"")</f>
        <v/>
      </c>
    </row>
  </sheetData>
  <mergeCells count="1">
    <mergeCell ref="A1:I1"/>
  </mergeCells>
  <dataValidations count="5">
    <dataValidation sqref="C3:C500" showDropDown="0" showInputMessage="0" showErrorMessage="1" allowBlank="1" errorTitle="Valor no válido" error="Elija un valor de la lista desplegable." type="list">
      <formula1>=LISTAS!$A$2:$A$14</formula1>
    </dataValidation>
    <dataValidation sqref="D3:D500" showDropDown="0" showInputMessage="0" showErrorMessage="1" allowBlank="1" errorTitle="Valor no válido" error="Elija un valor de la lista desplegable." type="list">
      <formula1>=LISTAS!$M$2:$M$8</formula1>
    </dataValidation>
    <dataValidation sqref="E3:E500" showDropDown="0" showInputMessage="0" showErrorMessage="1" allowBlank="1" error="Número entero." type="whole" operator="between">
      <formula1>0</formula1>
      <formula2>100000</formula2>
    </dataValidation>
    <dataValidation sqref="F3:F500" showDropDown="0" showInputMessage="0" showErrorMessage="1" allowBlank="1" error="Entre 0 y 12 horas por persona." type="decimal" operator="between">
      <formula1>0</formula1>
      <formula2>12</formula2>
    </dataValidation>
    <dataValidation sqref="H3:H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2" customWidth="1" min="5" max="5"/>
    <col width="36" customWidth="1" min="6" max="6"/>
  </cols>
  <sheetData>
    <row r="1">
      <c r="A1" s="7" t="inlineStr">
        <is>
          <t>PROCESO_FECHAS · Mide los solapes reales entre procesos (los necesita el Gantt y el CRP).  (Jefe de taller · al iniciar y cerrar cada proceso)</t>
        </is>
      </c>
    </row>
    <row r="2" ht="42" customHeight="1">
      <c r="A2" s="8" t="inlineStr">
        <is>
          <t>Código OT</t>
        </is>
      </c>
      <c r="B2" s="8" t="inlineStr">
        <is>
          <t>Proceso</t>
        </is>
      </c>
      <c r="C2" s="8" t="inlineStr">
        <is>
          <t>Fecha inicio real</t>
        </is>
      </c>
      <c r="D2" s="8" t="inlineStr">
        <is>
          <t>Fecha fin real</t>
        </is>
      </c>
      <c r="E2" s="8" t="inlineStr">
        <is>
          <t>Cuadrilla promedio</t>
        </is>
      </c>
      <c r="F2" s="8" t="inlineStr">
        <is>
          <t>Observación</t>
        </is>
      </c>
    </row>
    <row r="3">
      <c r="A3" s="9" t="inlineStr">
        <is>
          <t>OT-2026-015</t>
        </is>
      </c>
      <c r="B3" s="9" t="inlineStr">
        <is>
          <t>08 Armado</t>
        </is>
      </c>
      <c r="C3" s="9" t="inlineStr">
        <is>
          <t>2026-10-21</t>
        </is>
      </c>
      <c r="D3" s="9" t="inlineStr">
        <is>
          <t>2026-11-04</t>
        </is>
      </c>
      <c r="E3" s="9" t="n">
        <v>6</v>
      </c>
      <c r="F3" s="9" t="n"/>
      <c r="G3" s="11" t="inlineStr">
        <is>
          <t>← EJEMPLO: borrar esta fila</t>
        </is>
      </c>
    </row>
    <row r="4">
      <c r="B4" s="12" t="n"/>
    </row>
    <row r="5">
      <c r="B5" s="12" t="n"/>
    </row>
    <row r="6">
      <c r="B6" s="12" t="n"/>
    </row>
    <row r="7">
      <c r="B7" s="12" t="n"/>
    </row>
    <row r="8">
      <c r="B8" s="12" t="n"/>
    </row>
    <row r="9">
      <c r="B9" s="12" t="n"/>
    </row>
    <row r="10">
      <c r="B10" s="12" t="n"/>
    </row>
    <row r="11">
      <c r="B11" s="12" t="n"/>
    </row>
    <row r="12">
      <c r="B12" s="12" t="n"/>
    </row>
    <row r="13">
      <c r="B13" s="12" t="n"/>
    </row>
    <row r="14">
      <c r="B14" s="12" t="n"/>
    </row>
    <row r="15">
      <c r="B15" s="12" t="n"/>
    </row>
    <row r="16">
      <c r="B16" s="12" t="n"/>
    </row>
    <row r="17">
      <c r="B17" s="12" t="n"/>
    </row>
    <row r="18">
      <c r="B18" s="12" t="n"/>
    </row>
    <row r="19">
      <c r="B19" s="12" t="n"/>
    </row>
    <row r="20">
      <c r="B20" s="12" t="n"/>
    </row>
    <row r="21">
      <c r="B21" s="12" t="n"/>
    </row>
    <row r="22">
      <c r="B22" s="12" t="n"/>
    </row>
    <row r="23">
      <c r="B23" s="12" t="n"/>
    </row>
    <row r="24">
      <c r="B24" s="12" t="n"/>
    </row>
    <row r="25">
      <c r="B25" s="12" t="n"/>
    </row>
    <row r="26">
      <c r="B26" s="12" t="n"/>
    </row>
    <row r="27">
      <c r="B27" s="12" t="n"/>
    </row>
    <row r="28">
      <c r="B28" s="12" t="n"/>
    </row>
    <row r="29">
      <c r="B29" s="12" t="n"/>
    </row>
    <row r="30">
      <c r="B30" s="12" t="n"/>
    </row>
    <row r="31">
      <c r="B31" s="12" t="n"/>
    </row>
    <row r="32">
      <c r="B32" s="12" t="n"/>
    </row>
    <row r="33">
      <c r="B33" s="12" t="n"/>
    </row>
    <row r="34">
      <c r="B34" s="12" t="n"/>
    </row>
    <row r="35">
      <c r="B35" s="12" t="n"/>
    </row>
    <row r="36">
      <c r="B36" s="12" t="n"/>
    </row>
    <row r="37">
      <c r="B37" s="12" t="n"/>
    </row>
    <row r="38">
      <c r="B38" s="12" t="n"/>
    </row>
    <row r="39">
      <c r="B39" s="12" t="n"/>
    </row>
    <row r="40">
      <c r="B40" s="12" t="n"/>
    </row>
    <row r="41">
      <c r="B41" s="12" t="n"/>
    </row>
    <row r="42">
      <c r="B42" s="12" t="n"/>
    </row>
    <row r="43">
      <c r="B43" s="12" t="n"/>
    </row>
    <row r="44">
      <c r="B44" s="12" t="n"/>
    </row>
    <row r="45">
      <c r="B45" s="12" t="n"/>
    </row>
    <row r="46">
      <c r="B46" s="12" t="n"/>
    </row>
    <row r="47">
      <c r="B47" s="12" t="n"/>
    </row>
    <row r="48">
      <c r="B48" s="12" t="n"/>
    </row>
    <row r="49">
      <c r="B49" s="12" t="n"/>
    </row>
    <row r="50">
      <c r="B50" s="12" t="n"/>
    </row>
    <row r="51">
      <c r="B51" s="12" t="n"/>
    </row>
    <row r="52">
      <c r="B52" s="12" t="n"/>
    </row>
    <row r="53">
      <c r="B53" s="12" t="n"/>
    </row>
    <row r="54">
      <c r="B54" s="12" t="n"/>
    </row>
    <row r="55">
      <c r="B55" s="12" t="n"/>
    </row>
    <row r="56">
      <c r="B56" s="12" t="n"/>
    </row>
    <row r="57">
      <c r="B57" s="12" t="n"/>
    </row>
    <row r="58">
      <c r="B58" s="12" t="n"/>
    </row>
    <row r="59">
      <c r="B59" s="12" t="n"/>
    </row>
  </sheetData>
  <mergeCells count="1">
    <mergeCell ref="A1:F1"/>
  </mergeCells>
  <dataValidations count="2">
    <dataValidation sqref="B3:B500" showDropDown="0" showInputMessage="0" showErrorMessage="1" allowBlank="1" errorTitle="Valor no válido" error="Elija un valor de la lista desplegable." type="list">
      <formula1>=LISTAS!$A$2:$A$14</formula1>
    </dataValidation>
    <dataValidation sqref="E3:E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8" customWidth="1" min="4" max="4"/>
    <col width="11" customWidth="1" min="5" max="5"/>
    <col width="28" customWidth="1" min="6" max="6"/>
    <col width="14" customWidth="1" min="7" max="7"/>
    <col width="36" customWidth="1" min="8" max="8"/>
  </cols>
  <sheetData>
    <row r="1">
      <c r="A1" s="7" t="inlineStr">
        <is>
          <t>PARADAS · Base de la disponibilidad real (Dₖ) de las 4 máquinas.  (Jefe de taller / operador · cuando ocurre)</t>
        </is>
      </c>
    </row>
    <row r="2" ht="42" customHeight="1">
      <c r="A2" s="8" t="inlineStr">
        <is>
          <t>Máquina</t>
        </is>
      </c>
      <c r="B2" s="8" t="inlineStr">
        <is>
          <t>Fecha y hora inicio</t>
        </is>
      </c>
      <c r="C2" s="8" t="inlineStr">
        <is>
          <t>Fecha y hora fin</t>
        </is>
      </c>
      <c r="D2" s="14" t="inlineStr">
        <is>
          <t>Horas</t>
        </is>
      </c>
      <c r="E2" s="8" t="inlineStr">
        <is>
          <t>¿Planificada?</t>
        </is>
      </c>
      <c r="F2" s="8" t="inlineStr">
        <is>
          <t>Causa</t>
        </is>
      </c>
      <c r="G2" s="8" t="inlineStr">
        <is>
          <t>Código OT afectada</t>
        </is>
      </c>
      <c r="H2" s="8" t="inlineStr">
        <is>
          <t>Observación</t>
        </is>
      </c>
    </row>
    <row r="3">
      <c r="A3" s="9" t="inlineStr">
        <is>
          <t>Mesa CNC</t>
        </is>
      </c>
      <c r="B3" s="9" t="inlineStr">
        <is>
          <t>2026-10-21 08:00</t>
        </is>
      </c>
      <c r="C3" s="9" t="inlineStr">
        <is>
          <t>2026-10-21 14:00</t>
        </is>
      </c>
      <c r="D3" s="15">
        <f>IF(AND(B3&lt;&gt;"",C3&lt;&gt;""),ROUND((IF(ISNUMBER(C3),C3,DATEVALUE(LEFT(C3,10))+TIMEVALUE(MID(C3,12,5)))-IF(ISNUMBER(B3),B3,DATEVALUE(LEFT(B3,10))+TIMEVALUE(MID(B3,12,5))))*24,1),"")</f>
        <v/>
      </c>
      <c r="E3" s="9" t="inlineStr">
        <is>
          <t>No</t>
        </is>
      </c>
      <c r="F3" s="9" t="inlineStr">
        <is>
          <t>Falla eléctrica</t>
        </is>
      </c>
      <c r="G3" s="9" t="inlineStr">
        <is>
          <t>OT-2026-015</t>
        </is>
      </c>
      <c r="H3" s="9" t="inlineStr">
        <is>
          <t>Se cambió contactor</t>
        </is>
      </c>
      <c r="I3" s="11" t="inlineStr">
        <is>
          <t>← EJEMPLO: borrar esta fila</t>
        </is>
      </c>
    </row>
    <row r="4">
      <c r="A4" s="12" t="n"/>
      <c r="D4" s="16">
        <f>IF(AND(B4&lt;&gt;"",C4&lt;&gt;""),ROUND((IF(ISNUMBER(C4),C4,DATEVALUE(LEFT(C4,10))+TIMEVALUE(MID(C4,12,5)))-IF(ISNUMBER(B4),B4,DATEVALUE(LEFT(B4,10))+TIMEVALUE(MID(B4,12,5))))*24,1),"")</f>
        <v/>
      </c>
      <c r="E4" s="12" t="n"/>
      <c r="F4" s="12" t="n"/>
    </row>
    <row r="5">
      <c r="A5" s="12" t="n"/>
      <c r="D5" s="16">
        <f>IF(AND(B5&lt;&gt;"",C5&lt;&gt;""),ROUND((IF(ISNUMBER(C5),C5,DATEVALUE(LEFT(C5,10))+TIMEVALUE(MID(C5,12,5)))-IF(ISNUMBER(B5),B5,DATEVALUE(LEFT(B5,10))+TIMEVALUE(MID(B5,12,5))))*24,1),"")</f>
        <v/>
      </c>
      <c r="E5" s="12" t="n"/>
      <c r="F5" s="12" t="n"/>
    </row>
    <row r="6">
      <c r="A6" s="12" t="n"/>
      <c r="D6" s="16">
        <f>IF(AND(B6&lt;&gt;"",C6&lt;&gt;""),ROUND((IF(ISNUMBER(C6),C6,DATEVALUE(LEFT(C6,10))+TIMEVALUE(MID(C6,12,5)))-IF(ISNUMBER(B6),B6,DATEVALUE(LEFT(B6,10))+TIMEVALUE(MID(B6,12,5))))*24,1),"")</f>
        <v/>
      </c>
      <c r="E6" s="12" t="n"/>
      <c r="F6" s="12" t="n"/>
    </row>
    <row r="7">
      <c r="A7" s="12" t="n"/>
      <c r="D7" s="16">
        <f>IF(AND(B7&lt;&gt;"",C7&lt;&gt;""),ROUND((IF(ISNUMBER(C7),C7,DATEVALUE(LEFT(C7,10))+TIMEVALUE(MID(C7,12,5)))-IF(ISNUMBER(B7),B7,DATEVALUE(LEFT(B7,10))+TIMEVALUE(MID(B7,12,5))))*24,1),"")</f>
        <v/>
      </c>
      <c r="E7" s="12" t="n"/>
      <c r="F7" s="12" t="n"/>
    </row>
    <row r="8">
      <c r="A8" s="12" t="n"/>
      <c r="D8" s="16">
        <f>IF(AND(B8&lt;&gt;"",C8&lt;&gt;""),ROUND((IF(ISNUMBER(C8),C8,DATEVALUE(LEFT(C8,10))+TIMEVALUE(MID(C8,12,5)))-IF(ISNUMBER(B8),B8,DATEVALUE(LEFT(B8,10))+TIMEVALUE(MID(B8,12,5))))*24,1),"")</f>
        <v/>
      </c>
      <c r="E8" s="12" t="n"/>
      <c r="F8" s="12" t="n"/>
    </row>
    <row r="9">
      <c r="A9" s="12" t="n"/>
      <c r="D9" s="16">
        <f>IF(AND(B9&lt;&gt;"",C9&lt;&gt;""),ROUND((IF(ISNUMBER(C9),C9,DATEVALUE(LEFT(C9,10))+TIMEVALUE(MID(C9,12,5)))-IF(ISNUMBER(B9),B9,DATEVALUE(LEFT(B9,10))+TIMEVALUE(MID(B9,12,5))))*24,1),"")</f>
        <v/>
      </c>
      <c r="E9" s="12" t="n"/>
      <c r="F9" s="12" t="n"/>
    </row>
    <row r="10">
      <c r="A10" s="12" t="n"/>
      <c r="D10" s="16">
        <f>IF(AND(B10&lt;&gt;"",C10&lt;&gt;""),ROUND((IF(ISNUMBER(C10),C10,DATEVALUE(LEFT(C10,10))+TIMEVALUE(MID(C10,12,5)))-IF(ISNUMBER(B10),B10,DATEVALUE(LEFT(B10,10))+TIMEVALUE(MID(B10,12,5))))*24,1),"")</f>
        <v/>
      </c>
      <c r="E10" s="12" t="n"/>
      <c r="F10" s="12" t="n"/>
    </row>
    <row r="11">
      <c r="A11" s="12" t="n"/>
      <c r="D11" s="16">
        <f>IF(AND(B11&lt;&gt;"",C11&lt;&gt;""),ROUND((IF(ISNUMBER(C11),C11,DATEVALUE(LEFT(C11,10))+TIMEVALUE(MID(C11,12,5)))-IF(ISNUMBER(B11),B11,DATEVALUE(LEFT(B11,10))+TIMEVALUE(MID(B11,12,5))))*24,1),"")</f>
        <v/>
      </c>
      <c r="E11" s="12" t="n"/>
      <c r="F11" s="12" t="n"/>
    </row>
    <row r="12">
      <c r="A12" s="12" t="n"/>
      <c r="D12" s="16">
        <f>IF(AND(B12&lt;&gt;"",C12&lt;&gt;""),ROUND((IF(ISNUMBER(C12),C12,DATEVALUE(LEFT(C12,10))+TIMEVALUE(MID(C12,12,5)))-IF(ISNUMBER(B12),B12,DATEVALUE(LEFT(B12,10))+TIMEVALUE(MID(B12,12,5))))*24,1),"")</f>
        <v/>
      </c>
      <c r="E12" s="12" t="n"/>
      <c r="F12" s="12" t="n"/>
    </row>
    <row r="13">
      <c r="A13" s="12" t="n"/>
      <c r="D13" s="16">
        <f>IF(AND(B13&lt;&gt;"",C13&lt;&gt;""),ROUND((IF(ISNUMBER(C13),C13,DATEVALUE(LEFT(C13,10))+TIMEVALUE(MID(C13,12,5)))-IF(ISNUMBER(B13),B13,DATEVALUE(LEFT(B13,10))+TIMEVALUE(MID(B13,12,5))))*24,1),"")</f>
        <v/>
      </c>
      <c r="E13" s="12" t="n"/>
      <c r="F13" s="12" t="n"/>
    </row>
    <row r="14">
      <c r="A14" s="12" t="n"/>
      <c r="D14" s="16">
        <f>IF(AND(B14&lt;&gt;"",C14&lt;&gt;""),ROUND((IF(ISNUMBER(C14),C14,DATEVALUE(LEFT(C14,10))+TIMEVALUE(MID(C14,12,5)))-IF(ISNUMBER(B14),B14,DATEVALUE(LEFT(B14,10))+TIMEVALUE(MID(B14,12,5))))*24,1),"")</f>
        <v/>
      </c>
      <c r="E14" s="12" t="n"/>
      <c r="F14" s="12" t="n"/>
    </row>
    <row r="15">
      <c r="A15" s="12" t="n"/>
      <c r="D15" s="16">
        <f>IF(AND(B15&lt;&gt;"",C15&lt;&gt;""),ROUND((IF(ISNUMBER(C15),C15,DATEVALUE(LEFT(C15,10))+TIMEVALUE(MID(C15,12,5)))-IF(ISNUMBER(B15),B15,DATEVALUE(LEFT(B15,10))+TIMEVALUE(MID(B15,12,5))))*24,1),"")</f>
        <v/>
      </c>
      <c r="E15" s="12" t="n"/>
      <c r="F15" s="12" t="n"/>
    </row>
    <row r="16">
      <c r="A16" s="12" t="n"/>
      <c r="D16" s="16">
        <f>IF(AND(B16&lt;&gt;"",C16&lt;&gt;""),ROUND((IF(ISNUMBER(C16),C16,DATEVALUE(LEFT(C16,10))+TIMEVALUE(MID(C16,12,5)))-IF(ISNUMBER(B16),B16,DATEVALUE(LEFT(B16,10))+TIMEVALUE(MID(B16,12,5))))*24,1),"")</f>
        <v/>
      </c>
      <c r="E16" s="12" t="n"/>
      <c r="F16" s="12" t="n"/>
    </row>
    <row r="17">
      <c r="A17" s="12" t="n"/>
      <c r="D17" s="16">
        <f>IF(AND(B17&lt;&gt;"",C17&lt;&gt;""),ROUND((IF(ISNUMBER(C17),C17,DATEVALUE(LEFT(C17,10))+TIMEVALUE(MID(C17,12,5)))-IF(ISNUMBER(B17),B17,DATEVALUE(LEFT(B17,10))+TIMEVALUE(MID(B17,12,5))))*24,1),"")</f>
        <v/>
      </c>
      <c r="E17" s="12" t="n"/>
      <c r="F17" s="12" t="n"/>
    </row>
    <row r="18">
      <c r="A18" s="12" t="n"/>
      <c r="D18" s="16">
        <f>IF(AND(B18&lt;&gt;"",C18&lt;&gt;""),ROUND((IF(ISNUMBER(C18),C18,DATEVALUE(LEFT(C18,10))+TIMEVALUE(MID(C18,12,5)))-IF(ISNUMBER(B18),B18,DATEVALUE(LEFT(B18,10))+TIMEVALUE(MID(B18,12,5))))*24,1),"")</f>
        <v/>
      </c>
      <c r="E18" s="12" t="n"/>
      <c r="F18" s="12" t="n"/>
    </row>
    <row r="19">
      <c r="A19" s="12" t="n"/>
      <c r="D19" s="16">
        <f>IF(AND(B19&lt;&gt;"",C19&lt;&gt;""),ROUND((IF(ISNUMBER(C19),C19,DATEVALUE(LEFT(C19,10))+TIMEVALUE(MID(C19,12,5)))-IF(ISNUMBER(B19),B19,DATEVALUE(LEFT(B19,10))+TIMEVALUE(MID(B19,12,5))))*24,1),"")</f>
        <v/>
      </c>
      <c r="E19" s="12" t="n"/>
      <c r="F19" s="12" t="n"/>
    </row>
    <row r="20">
      <c r="A20" s="12" t="n"/>
      <c r="D20" s="16">
        <f>IF(AND(B20&lt;&gt;"",C20&lt;&gt;""),ROUND((IF(ISNUMBER(C20),C20,DATEVALUE(LEFT(C20,10))+TIMEVALUE(MID(C20,12,5)))-IF(ISNUMBER(B20),B20,DATEVALUE(LEFT(B20,10))+TIMEVALUE(MID(B20,12,5))))*24,1),"")</f>
        <v/>
      </c>
      <c r="E20" s="12" t="n"/>
      <c r="F20" s="12" t="n"/>
    </row>
    <row r="21">
      <c r="A21" s="12" t="n"/>
      <c r="D21" s="16">
        <f>IF(AND(B21&lt;&gt;"",C21&lt;&gt;""),ROUND((IF(ISNUMBER(C21),C21,DATEVALUE(LEFT(C21,10))+TIMEVALUE(MID(C21,12,5)))-IF(ISNUMBER(B21),B21,DATEVALUE(LEFT(B21,10))+TIMEVALUE(MID(B21,12,5))))*24,1),"")</f>
        <v/>
      </c>
      <c r="E21" s="12" t="n"/>
      <c r="F21" s="12" t="n"/>
    </row>
    <row r="22">
      <c r="A22" s="12" t="n"/>
      <c r="D22" s="16">
        <f>IF(AND(B22&lt;&gt;"",C22&lt;&gt;""),ROUND((IF(ISNUMBER(C22),C22,DATEVALUE(LEFT(C22,10))+TIMEVALUE(MID(C22,12,5)))-IF(ISNUMBER(B22),B22,DATEVALUE(LEFT(B22,10))+TIMEVALUE(MID(B22,12,5))))*24,1),"")</f>
        <v/>
      </c>
      <c r="E22" s="12" t="n"/>
      <c r="F22" s="12" t="n"/>
    </row>
    <row r="23">
      <c r="A23" s="12" t="n"/>
      <c r="D23" s="16">
        <f>IF(AND(B23&lt;&gt;"",C23&lt;&gt;""),ROUND((IF(ISNUMBER(C23),C23,DATEVALUE(LEFT(C23,10))+TIMEVALUE(MID(C23,12,5)))-IF(ISNUMBER(B23),B23,DATEVALUE(LEFT(B23,10))+TIMEVALUE(MID(B23,12,5))))*24,1),"")</f>
        <v/>
      </c>
      <c r="E23" s="12" t="n"/>
      <c r="F23" s="12" t="n"/>
    </row>
    <row r="24">
      <c r="A24" s="12" t="n"/>
      <c r="D24" s="16">
        <f>IF(AND(B24&lt;&gt;"",C24&lt;&gt;""),ROUND((IF(ISNUMBER(C24),C24,DATEVALUE(LEFT(C24,10))+TIMEVALUE(MID(C24,12,5)))-IF(ISNUMBER(B24),B24,DATEVALUE(LEFT(B24,10))+TIMEVALUE(MID(B24,12,5))))*24,1),"")</f>
        <v/>
      </c>
      <c r="E24" s="12" t="n"/>
      <c r="F24" s="12" t="n"/>
    </row>
    <row r="25">
      <c r="A25" s="12" t="n"/>
      <c r="D25" s="16">
        <f>IF(AND(B25&lt;&gt;"",C25&lt;&gt;""),ROUND((IF(ISNUMBER(C25),C25,DATEVALUE(LEFT(C25,10))+TIMEVALUE(MID(C25,12,5)))-IF(ISNUMBER(B25),B25,DATEVALUE(LEFT(B25,10))+TIMEVALUE(MID(B25,12,5))))*24,1),"")</f>
        <v/>
      </c>
      <c r="E25" s="12" t="n"/>
      <c r="F25" s="12" t="n"/>
    </row>
    <row r="26">
      <c r="A26" s="12" t="n"/>
      <c r="D26" s="16">
        <f>IF(AND(B26&lt;&gt;"",C26&lt;&gt;""),ROUND((IF(ISNUMBER(C26),C26,DATEVALUE(LEFT(C26,10))+TIMEVALUE(MID(C26,12,5)))-IF(ISNUMBER(B26),B26,DATEVALUE(LEFT(B26,10))+TIMEVALUE(MID(B26,12,5))))*24,1),"")</f>
        <v/>
      </c>
      <c r="E26" s="12" t="n"/>
      <c r="F26" s="12" t="n"/>
    </row>
    <row r="27">
      <c r="A27" s="12" t="n"/>
      <c r="D27" s="16">
        <f>IF(AND(B27&lt;&gt;"",C27&lt;&gt;""),ROUND((IF(ISNUMBER(C27),C27,DATEVALUE(LEFT(C27,10))+TIMEVALUE(MID(C27,12,5)))-IF(ISNUMBER(B27),B27,DATEVALUE(LEFT(B27,10))+TIMEVALUE(MID(B27,12,5))))*24,1),"")</f>
        <v/>
      </c>
      <c r="E27" s="12" t="n"/>
      <c r="F27" s="12" t="n"/>
    </row>
    <row r="28">
      <c r="A28" s="12" t="n"/>
      <c r="D28" s="16">
        <f>IF(AND(B28&lt;&gt;"",C28&lt;&gt;""),ROUND((IF(ISNUMBER(C28),C28,DATEVALUE(LEFT(C28,10))+TIMEVALUE(MID(C28,12,5)))-IF(ISNUMBER(B28),B28,DATEVALUE(LEFT(B28,10))+TIMEVALUE(MID(B28,12,5))))*24,1),"")</f>
        <v/>
      </c>
      <c r="E28" s="12" t="n"/>
      <c r="F28" s="12" t="n"/>
    </row>
    <row r="29">
      <c r="A29" s="12" t="n"/>
      <c r="D29" s="16">
        <f>IF(AND(B29&lt;&gt;"",C29&lt;&gt;""),ROUND((IF(ISNUMBER(C29),C29,DATEVALUE(LEFT(C29,10))+TIMEVALUE(MID(C29,12,5)))-IF(ISNUMBER(B29),B29,DATEVALUE(LEFT(B29,10))+TIMEVALUE(MID(B29,12,5))))*24,1),"")</f>
        <v/>
      </c>
      <c r="E29" s="12" t="n"/>
      <c r="F29" s="12" t="n"/>
    </row>
    <row r="30">
      <c r="A30" s="12" t="n"/>
      <c r="D30" s="16">
        <f>IF(AND(B30&lt;&gt;"",C30&lt;&gt;""),ROUND((IF(ISNUMBER(C30),C30,DATEVALUE(LEFT(C30,10))+TIMEVALUE(MID(C30,12,5)))-IF(ISNUMBER(B30),B30,DATEVALUE(LEFT(B30,10))+TIMEVALUE(MID(B30,12,5))))*24,1),"")</f>
        <v/>
      </c>
      <c r="E30" s="12" t="n"/>
      <c r="F30" s="12" t="n"/>
    </row>
    <row r="31">
      <c r="A31" s="12" t="n"/>
      <c r="D31" s="16">
        <f>IF(AND(B31&lt;&gt;"",C31&lt;&gt;""),ROUND((IF(ISNUMBER(C31),C31,DATEVALUE(LEFT(C31,10))+TIMEVALUE(MID(C31,12,5)))-IF(ISNUMBER(B31),B31,DATEVALUE(LEFT(B31,10))+TIMEVALUE(MID(B31,12,5))))*24,1),"")</f>
        <v/>
      </c>
      <c r="E31" s="12" t="n"/>
      <c r="F31" s="12" t="n"/>
    </row>
    <row r="32">
      <c r="A32" s="12" t="n"/>
      <c r="D32" s="16">
        <f>IF(AND(B32&lt;&gt;"",C32&lt;&gt;""),ROUND((IF(ISNUMBER(C32),C32,DATEVALUE(LEFT(C32,10))+TIMEVALUE(MID(C32,12,5)))-IF(ISNUMBER(B32),B32,DATEVALUE(LEFT(B32,10))+TIMEVALUE(MID(B32,12,5))))*24,1),"")</f>
        <v/>
      </c>
      <c r="E32" s="12" t="n"/>
      <c r="F32" s="12" t="n"/>
    </row>
    <row r="33">
      <c r="A33" s="12" t="n"/>
      <c r="D33" s="16">
        <f>IF(AND(B33&lt;&gt;"",C33&lt;&gt;""),ROUND((IF(ISNUMBER(C33),C33,DATEVALUE(LEFT(C33,10))+TIMEVALUE(MID(C33,12,5)))-IF(ISNUMBER(B33),B33,DATEVALUE(LEFT(B33,10))+TIMEVALUE(MID(B33,12,5))))*24,1),"")</f>
        <v/>
      </c>
      <c r="E33" s="12" t="n"/>
      <c r="F33" s="12" t="n"/>
    </row>
    <row r="34">
      <c r="A34" s="12" t="n"/>
      <c r="D34" s="16">
        <f>IF(AND(B34&lt;&gt;"",C34&lt;&gt;""),ROUND((IF(ISNUMBER(C34),C34,DATEVALUE(LEFT(C34,10))+TIMEVALUE(MID(C34,12,5)))-IF(ISNUMBER(B34),B34,DATEVALUE(LEFT(B34,10))+TIMEVALUE(MID(B34,12,5))))*24,1),"")</f>
        <v/>
      </c>
      <c r="E34" s="12" t="n"/>
      <c r="F34" s="12" t="n"/>
    </row>
    <row r="35">
      <c r="A35" s="12" t="n"/>
      <c r="D35" s="16">
        <f>IF(AND(B35&lt;&gt;"",C35&lt;&gt;""),ROUND((IF(ISNUMBER(C35),C35,DATEVALUE(LEFT(C35,10))+TIMEVALUE(MID(C35,12,5)))-IF(ISNUMBER(B35),B35,DATEVALUE(LEFT(B35,10))+TIMEVALUE(MID(B35,12,5))))*24,1),"")</f>
        <v/>
      </c>
      <c r="E35" s="12" t="n"/>
      <c r="F35" s="12" t="n"/>
    </row>
    <row r="36">
      <c r="A36" s="12" t="n"/>
      <c r="D36" s="16">
        <f>IF(AND(B36&lt;&gt;"",C36&lt;&gt;""),ROUND((IF(ISNUMBER(C36),C36,DATEVALUE(LEFT(C36,10))+TIMEVALUE(MID(C36,12,5)))-IF(ISNUMBER(B36),B36,DATEVALUE(LEFT(B36,10))+TIMEVALUE(MID(B36,12,5))))*24,1),"")</f>
        <v/>
      </c>
      <c r="E36" s="12" t="n"/>
      <c r="F36" s="12" t="n"/>
    </row>
    <row r="37">
      <c r="A37" s="12" t="n"/>
      <c r="D37" s="16">
        <f>IF(AND(B37&lt;&gt;"",C37&lt;&gt;""),ROUND((IF(ISNUMBER(C37),C37,DATEVALUE(LEFT(C37,10))+TIMEVALUE(MID(C37,12,5)))-IF(ISNUMBER(B37),B37,DATEVALUE(LEFT(B37,10))+TIMEVALUE(MID(B37,12,5))))*24,1),"")</f>
        <v/>
      </c>
      <c r="E37" s="12" t="n"/>
      <c r="F37" s="12" t="n"/>
    </row>
    <row r="38">
      <c r="A38" s="12" t="n"/>
      <c r="D38" s="16">
        <f>IF(AND(B38&lt;&gt;"",C38&lt;&gt;""),ROUND((IF(ISNUMBER(C38),C38,DATEVALUE(LEFT(C38,10))+TIMEVALUE(MID(C38,12,5)))-IF(ISNUMBER(B38),B38,DATEVALUE(LEFT(B38,10))+TIMEVALUE(MID(B38,12,5))))*24,1),"")</f>
        <v/>
      </c>
      <c r="E38" s="12" t="n"/>
      <c r="F38" s="12" t="n"/>
    </row>
    <row r="39">
      <c r="A39" s="12" t="n"/>
      <c r="D39" s="16">
        <f>IF(AND(B39&lt;&gt;"",C39&lt;&gt;""),ROUND((IF(ISNUMBER(C39),C39,DATEVALUE(LEFT(C39,10))+TIMEVALUE(MID(C39,12,5)))-IF(ISNUMBER(B39),B39,DATEVALUE(LEFT(B39,10))+TIMEVALUE(MID(B39,12,5))))*24,1),"")</f>
        <v/>
      </c>
      <c r="E39" s="12" t="n"/>
      <c r="F39" s="12" t="n"/>
    </row>
    <row r="40">
      <c r="A40" s="12" t="n"/>
      <c r="D40" s="16">
        <f>IF(AND(B40&lt;&gt;"",C40&lt;&gt;""),ROUND((IF(ISNUMBER(C40),C40,DATEVALUE(LEFT(C40,10))+TIMEVALUE(MID(C40,12,5)))-IF(ISNUMBER(B40),B40,DATEVALUE(LEFT(B40,10))+TIMEVALUE(MID(B40,12,5))))*24,1),"")</f>
        <v/>
      </c>
      <c r="E40" s="12" t="n"/>
      <c r="F40" s="12" t="n"/>
    </row>
    <row r="41">
      <c r="A41" s="12" t="n"/>
      <c r="D41" s="16">
        <f>IF(AND(B41&lt;&gt;"",C41&lt;&gt;""),ROUND((IF(ISNUMBER(C41),C41,DATEVALUE(LEFT(C41,10))+TIMEVALUE(MID(C41,12,5)))-IF(ISNUMBER(B41),B41,DATEVALUE(LEFT(B41,10))+TIMEVALUE(MID(B41,12,5))))*24,1),"")</f>
        <v/>
      </c>
      <c r="E41" s="12" t="n"/>
      <c r="F41" s="12" t="n"/>
    </row>
    <row r="42">
      <c r="A42" s="12" t="n"/>
      <c r="D42" s="16">
        <f>IF(AND(B42&lt;&gt;"",C42&lt;&gt;""),ROUND((IF(ISNUMBER(C42),C42,DATEVALUE(LEFT(C42,10))+TIMEVALUE(MID(C42,12,5)))-IF(ISNUMBER(B42),B42,DATEVALUE(LEFT(B42,10))+TIMEVALUE(MID(B42,12,5))))*24,1),"")</f>
        <v/>
      </c>
      <c r="E42" s="12" t="n"/>
      <c r="F42" s="12" t="n"/>
    </row>
    <row r="43">
      <c r="A43" s="12" t="n"/>
      <c r="D43" s="16">
        <f>IF(AND(B43&lt;&gt;"",C43&lt;&gt;""),ROUND((IF(ISNUMBER(C43),C43,DATEVALUE(LEFT(C43,10))+TIMEVALUE(MID(C43,12,5)))-IF(ISNUMBER(B43),B43,DATEVALUE(LEFT(B43,10))+TIMEVALUE(MID(B43,12,5))))*24,1),"")</f>
        <v/>
      </c>
      <c r="E43" s="12" t="n"/>
      <c r="F43" s="12" t="n"/>
    </row>
    <row r="44">
      <c r="A44" s="12" t="n"/>
      <c r="D44" s="16">
        <f>IF(AND(B44&lt;&gt;"",C44&lt;&gt;""),ROUND((IF(ISNUMBER(C44),C44,DATEVALUE(LEFT(C44,10))+TIMEVALUE(MID(C44,12,5)))-IF(ISNUMBER(B44),B44,DATEVALUE(LEFT(B44,10))+TIMEVALUE(MID(B44,12,5))))*24,1),"")</f>
        <v/>
      </c>
      <c r="E44" s="12" t="n"/>
      <c r="F44" s="12" t="n"/>
    </row>
    <row r="45">
      <c r="A45" s="12" t="n"/>
      <c r="D45" s="16">
        <f>IF(AND(B45&lt;&gt;"",C45&lt;&gt;""),ROUND((IF(ISNUMBER(C45),C45,DATEVALUE(LEFT(C45,10))+TIMEVALUE(MID(C45,12,5)))-IF(ISNUMBER(B45),B45,DATEVALUE(LEFT(B45,10))+TIMEVALUE(MID(B45,12,5))))*24,1),"")</f>
        <v/>
      </c>
      <c r="E45" s="12" t="n"/>
      <c r="F45" s="12" t="n"/>
    </row>
    <row r="46">
      <c r="A46" s="12" t="n"/>
      <c r="D46" s="16">
        <f>IF(AND(B46&lt;&gt;"",C46&lt;&gt;""),ROUND((IF(ISNUMBER(C46),C46,DATEVALUE(LEFT(C46,10))+TIMEVALUE(MID(C46,12,5)))-IF(ISNUMBER(B46),B46,DATEVALUE(LEFT(B46,10))+TIMEVALUE(MID(B46,12,5))))*24,1),"")</f>
        <v/>
      </c>
      <c r="E46" s="12" t="n"/>
      <c r="F46" s="12" t="n"/>
    </row>
    <row r="47">
      <c r="A47" s="12" t="n"/>
      <c r="D47" s="16">
        <f>IF(AND(B47&lt;&gt;"",C47&lt;&gt;""),ROUND((IF(ISNUMBER(C47),C47,DATEVALUE(LEFT(C47,10))+TIMEVALUE(MID(C47,12,5)))-IF(ISNUMBER(B47),B47,DATEVALUE(LEFT(B47,10))+TIMEVALUE(MID(B47,12,5))))*24,1),"")</f>
        <v/>
      </c>
      <c r="E47" s="12" t="n"/>
      <c r="F47" s="12" t="n"/>
    </row>
    <row r="48">
      <c r="A48" s="12" t="n"/>
      <c r="D48" s="16">
        <f>IF(AND(B48&lt;&gt;"",C48&lt;&gt;""),ROUND((IF(ISNUMBER(C48),C48,DATEVALUE(LEFT(C48,10))+TIMEVALUE(MID(C48,12,5)))-IF(ISNUMBER(B48),B48,DATEVALUE(LEFT(B48,10))+TIMEVALUE(MID(B48,12,5))))*24,1),"")</f>
        <v/>
      </c>
      <c r="E48" s="12" t="n"/>
      <c r="F48" s="12" t="n"/>
    </row>
    <row r="49">
      <c r="A49" s="12" t="n"/>
      <c r="D49" s="16">
        <f>IF(AND(B49&lt;&gt;"",C49&lt;&gt;""),ROUND((IF(ISNUMBER(C49),C49,DATEVALUE(LEFT(C49,10))+TIMEVALUE(MID(C49,12,5)))-IF(ISNUMBER(B49),B49,DATEVALUE(LEFT(B49,10))+TIMEVALUE(MID(B49,12,5))))*24,1),"")</f>
        <v/>
      </c>
      <c r="E49" s="12" t="n"/>
      <c r="F49" s="12" t="n"/>
    </row>
    <row r="50">
      <c r="A50" s="12" t="n"/>
      <c r="D50" s="16">
        <f>IF(AND(B50&lt;&gt;"",C50&lt;&gt;""),ROUND((IF(ISNUMBER(C50),C50,DATEVALUE(LEFT(C50,10))+TIMEVALUE(MID(C50,12,5)))-IF(ISNUMBER(B50),B50,DATEVALUE(LEFT(B50,10))+TIMEVALUE(MID(B50,12,5))))*24,1),"")</f>
        <v/>
      </c>
      <c r="E50" s="12" t="n"/>
      <c r="F50" s="12" t="n"/>
    </row>
    <row r="51">
      <c r="A51" s="12" t="n"/>
      <c r="D51" s="16">
        <f>IF(AND(B51&lt;&gt;"",C51&lt;&gt;""),ROUND((IF(ISNUMBER(C51),C51,DATEVALUE(LEFT(C51,10))+TIMEVALUE(MID(C51,12,5)))-IF(ISNUMBER(B51),B51,DATEVALUE(LEFT(B51,10))+TIMEVALUE(MID(B51,12,5))))*24,1),"")</f>
        <v/>
      </c>
      <c r="E51" s="12" t="n"/>
      <c r="F51" s="12" t="n"/>
    </row>
    <row r="52">
      <c r="A52" s="12" t="n"/>
      <c r="D52" s="16">
        <f>IF(AND(B52&lt;&gt;"",C52&lt;&gt;""),ROUND((IF(ISNUMBER(C52),C52,DATEVALUE(LEFT(C52,10))+TIMEVALUE(MID(C52,12,5)))-IF(ISNUMBER(B52),B52,DATEVALUE(LEFT(B52,10))+TIMEVALUE(MID(B52,12,5))))*24,1),"")</f>
        <v/>
      </c>
      <c r="E52" s="12" t="n"/>
      <c r="F52" s="12" t="n"/>
    </row>
    <row r="53">
      <c r="A53" s="12" t="n"/>
      <c r="D53" s="16">
        <f>IF(AND(B53&lt;&gt;"",C53&lt;&gt;""),ROUND((IF(ISNUMBER(C53),C53,DATEVALUE(LEFT(C53,10))+TIMEVALUE(MID(C53,12,5)))-IF(ISNUMBER(B53),B53,DATEVALUE(LEFT(B53,10))+TIMEVALUE(MID(B53,12,5))))*24,1),"")</f>
        <v/>
      </c>
      <c r="E53" s="12" t="n"/>
      <c r="F53" s="12" t="n"/>
    </row>
    <row r="54">
      <c r="A54" s="12" t="n"/>
      <c r="D54" s="16">
        <f>IF(AND(B54&lt;&gt;"",C54&lt;&gt;""),ROUND((IF(ISNUMBER(C54),C54,DATEVALUE(LEFT(C54,10))+TIMEVALUE(MID(C54,12,5)))-IF(ISNUMBER(B54),B54,DATEVALUE(LEFT(B54,10))+TIMEVALUE(MID(B54,12,5))))*24,1),"")</f>
        <v/>
      </c>
      <c r="E54" s="12" t="n"/>
      <c r="F54" s="12" t="n"/>
    </row>
    <row r="55">
      <c r="A55" s="12" t="n"/>
      <c r="D55" s="16">
        <f>IF(AND(B55&lt;&gt;"",C55&lt;&gt;""),ROUND((IF(ISNUMBER(C55),C55,DATEVALUE(LEFT(C55,10))+TIMEVALUE(MID(C55,12,5)))-IF(ISNUMBER(B55),B55,DATEVALUE(LEFT(B55,10))+TIMEVALUE(MID(B55,12,5))))*24,1),"")</f>
        <v/>
      </c>
      <c r="E55" s="12" t="n"/>
      <c r="F55" s="12" t="n"/>
    </row>
    <row r="56">
      <c r="A56" s="12" t="n"/>
      <c r="D56" s="16">
        <f>IF(AND(B56&lt;&gt;"",C56&lt;&gt;""),ROUND((IF(ISNUMBER(C56),C56,DATEVALUE(LEFT(C56,10))+TIMEVALUE(MID(C56,12,5)))-IF(ISNUMBER(B56),B56,DATEVALUE(LEFT(B56,10))+TIMEVALUE(MID(B56,12,5))))*24,1),"")</f>
        <v/>
      </c>
      <c r="E56" s="12" t="n"/>
      <c r="F56" s="12" t="n"/>
    </row>
    <row r="57">
      <c r="A57" s="12" t="n"/>
      <c r="D57" s="16">
        <f>IF(AND(B57&lt;&gt;"",C57&lt;&gt;""),ROUND((IF(ISNUMBER(C57),C57,DATEVALUE(LEFT(C57,10))+TIMEVALUE(MID(C57,12,5)))-IF(ISNUMBER(B57),B57,DATEVALUE(LEFT(B57,10))+TIMEVALUE(MID(B57,12,5))))*24,1),"")</f>
        <v/>
      </c>
      <c r="E57" s="12" t="n"/>
      <c r="F57" s="12" t="n"/>
    </row>
    <row r="58">
      <c r="A58" s="12" t="n"/>
      <c r="D58" s="16">
        <f>IF(AND(B58&lt;&gt;"",C58&lt;&gt;""),ROUND((IF(ISNUMBER(C58),C58,DATEVALUE(LEFT(C58,10))+TIMEVALUE(MID(C58,12,5)))-IF(ISNUMBER(B58),B58,DATEVALUE(LEFT(B58,10))+TIMEVALUE(MID(B58,12,5))))*24,1),"")</f>
        <v/>
      </c>
      <c r="E58" s="12" t="n"/>
      <c r="F58" s="12" t="n"/>
    </row>
    <row r="59">
      <c r="A59" s="12" t="n"/>
      <c r="D59" s="16">
        <f>IF(AND(B59&lt;&gt;"",C59&lt;&gt;""),ROUND((IF(ISNUMBER(C59),C59,DATEVALUE(LEFT(C59,10))+TIMEVALUE(MID(C59,12,5)))-IF(ISNUMBER(B59),B59,DATEVALUE(LEFT(B59,10))+TIMEVALUE(MID(B59,12,5))))*24,1),"")</f>
        <v/>
      </c>
      <c r="E59" s="12" t="n"/>
      <c r="F59" s="12" t="n"/>
    </row>
    <row r="60">
      <c r="D60" s="16">
        <f>IF(AND(B60&lt;&gt;"",C60&lt;&gt;""),ROUND((IF(ISNUMBER(C60),C60,DATEVALUE(LEFT(C60,10))+TIMEVALUE(MID(C60,12,5)))-IF(ISNUMBER(B60),B60,DATEVALUE(LEFT(B60,10))+TIMEVALUE(MID(B60,12,5))))*24,1),"")</f>
        <v/>
      </c>
    </row>
    <row r="61">
      <c r="D61" s="16">
        <f>IF(AND(B61&lt;&gt;"",C61&lt;&gt;""),ROUND((IF(ISNUMBER(C61),C61,DATEVALUE(LEFT(C61,10))+TIMEVALUE(MID(C61,12,5)))-IF(ISNUMBER(B61),B61,DATEVALUE(LEFT(B61,10))+TIMEVALUE(MID(B61,12,5))))*24,1),"")</f>
        <v/>
      </c>
    </row>
    <row r="62">
      <c r="D62" s="16">
        <f>IF(AND(B62&lt;&gt;"",C62&lt;&gt;""),ROUND((IF(ISNUMBER(C62),C62,DATEVALUE(LEFT(C62,10))+TIMEVALUE(MID(C62,12,5)))-IF(ISNUMBER(B62),B62,DATEVALUE(LEFT(B62,10))+TIMEVALUE(MID(B62,12,5))))*24,1),"")</f>
        <v/>
      </c>
    </row>
    <row r="63">
      <c r="D63" s="16">
        <f>IF(AND(B63&lt;&gt;"",C63&lt;&gt;""),ROUND((IF(ISNUMBER(C63),C63,DATEVALUE(LEFT(C63,10))+TIMEVALUE(MID(C63,12,5)))-IF(ISNUMBER(B63),B63,DATEVALUE(LEFT(B63,10))+TIMEVALUE(MID(B63,12,5))))*24,1),"")</f>
        <v/>
      </c>
    </row>
    <row r="64">
      <c r="D64" s="16">
        <f>IF(AND(B64&lt;&gt;"",C64&lt;&gt;""),ROUND((IF(ISNUMBER(C64),C64,DATEVALUE(LEFT(C64,10))+TIMEVALUE(MID(C64,12,5)))-IF(ISNUMBER(B64),B64,DATEVALUE(LEFT(B64,10))+TIMEVALUE(MID(B64,12,5))))*24,1),"")</f>
        <v/>
      </c>
    </row>
    <row r="65">
      <c r="D65" s="16">
        <f>IF(AND(B65&lt;&gt;"",C65&lt;&gt;""),ROUND((IF(ISNUMBER(C65),C65,DATEVALUE(LEFT(C65,10))+TIMEVALUE(MID(C65,12,5)))-IF(ISNUMBER(B65),B65,DATEVALUE(LEFT(B65,10))+TIMEVALUE(MID(B65,12,5))))*24,1),"")</f>
        <v/>
      </c>
    </row>
    <row r="66">
      <c r="D66" s="16">
        <f>IF(AND(B66&lt;&gt;"",C66&lt;&gt;""),ROUND((IF(ISNUMBER(C66),C66,DATEVALUE(LEFT(C66,10))+TIMEVALUE(MID(C66,12,5)))-IF(ISNUMBER(B66),B66,DATEVALUE(LEFT(B66,10))+TIMEVALUE(MID(B66,12,5))))*24,1),"")</f>
        <v/>
      </c>
    </row>
    <row r="67">
      <c r="D67" s="16">
        <f>IF(AND(B67&lt;&gt;"",C67&lt;&gt;""),ROUND((IF(ISNUMBER(C67),C67,DATEVALUE(LEFT(C67,10))+TIMEVALUE(MID(C67,12,5)))-IF(ISNUMBER(B67),B67,DATEVALUE(LEFT(B67,10))+TIMEVALUE(MID(B67,12,5))))*24,1),"")</f>
        <v/>
      </c>
    </row>
    <row r="68">
      <c r="D68" s="16">
        <f>IF(AND(B68&lt;&gt;"",C68&lt;&gt;""),ROUND((IF(ISNUMBER(C68),C68,DATEVALUE(LEFT(C68,10))+TIMEVALUE(MID(C68,12,5)))-IF(ISNUMBER(B68),B68,DATEVALUE(LEFT(B68,10))+TIMEVALUE(MID(B68,12,5))))*24,1),"")</f>
        <v/>
      </c>
    </row>
    <row r="69">
      <c r="D69" s="16">
        <f>IF(AND(B69&lt;&gt;"",C69&lt;&gt;""),ROUND((IF(ISNUMBER(C69),C69,DATEVALUE(LEFT(C69,10))+TIMEVALUE(MID(C69,12,5)))-IF(ISNUMBER(B69),B69,DATEVALUE(LEFT(B69,10))+TIMEVALUE(MID(B69,12,5))))*24,1),"")</f>
        <v/>
      </c>
    </row>
    <row r="70">
      <c r="D70" s="16">
        <f>IF(AND(B70&lt;&gt;"",C70&lt;&gt;""),ROUND((IF(ISNUMBER(C70),C70,DATEVALUE(LEFT(C70,10))+TIMEVALUE(MID(C70,12,5)))-IF(ISNUMBER(B70),B70,DATEVALUE(LEFT(B70,10))+TIMEVALUE(MID(B70,12,5))))*24,1),"")</f>
        <v/>
      </c>
    </row>
    <row r="71">
      <c r="D71" s="16">
        <f>IF(AND(B71&lt;&gt;"",C71&lt;&gt;""),ROUND((IF(ISNUMBER(C71),C71,DATEVALUE(LEFT(C71,10))+TIMEVALUE(MID(C71,12,5)))-IF(ISNUMBER(B71),B71,DATEVALUE(LEFT(B71,10))+TIMEVALUE(MID(B71,12,5))))*24,1),"")</f>
        <v/>
      </c>
    </row>
    <row r="72">
      <c r="D72" s="16">
        <f>IF(AND(B72&lt;&gt;"",C72&lt;&gt;""),ROUND((IF(ISNUMBER(C72),C72,DATEVALUE(LEFT(C72,10))+TIMEVALUE(MID(C72,12,5)))-IF(ISNUMBER(B72),B72,DATEVALUE(LEFT(B72,10))+TIMEVALUE(MID(B72,12,5))))*24,1),"")</f>
        <v/>
      </c>
    </row>
    <row r="73">
      <c r="D73" s="16">
        <f>IF(AND(B73&lt;&gt;"",C73&lt;&gt;""),ROUND((IF(ISNUMBER(C73),C73,DATEVALUE(LEFT(C73,10))+TIMEVALUE(MID(C73,12,5)))-IF(ISNUMBER(B73),B73,DATEVALUE(LEFT(B73,10))+TIMEVALUE(MID(B73,12,5))))*24,1),"")</f>
        <v/>
      </c>
    </row>
    <row r="74">
      <c r="D74" s="16">
        <f>IF(AND(B74&lt;&gt;"",C74&lt;&gt;""),ROUND((IF(ISNUMBER(C74),C74,DATEVALUE(LEFT(C74,10))+TIMEVALUE(MID(C74,12,5)))-IF(ISNUMBER(B74),B74,DATEVALUE(LEFT(B74,10))+TIMEVALUE(MID(B74,12,5))))*24,1),"")</f>
        <v/>
      </c>
    </row>
    <row r="75">
      <c r="D75" s="16">
        <f>IF(AND(B75&lt;&gt;"",C75&lt;&gt;""),ROUND((IF(ISNUMBER(C75),C75,DATEVALUE(LEFT(C75,10))+TIMEVALUE(MID(C75,12,5)))-IF(ISNUMBER(B75),B75,DATEVALUE(LEFT(B75,10))+TIMEVALUE(MID(B75,12,5))))*24,1),"")</f>
        <v/>
      </c>
    </row>
    <row r="76">
      <c r="D76" s="16">
        <f>IF(AND(B76&lt;&gt;"",C76&lt;&gt;""),ROUND((IF(ISNUMBER(C76),C76,DATEVALUE(LEFT(C76,10))+TIMEVALUE(MID(C76,12,5)))-IF(ISNUMBER(B76),B76,DATEVALUE(LEFT(B76,10))+TIMEVALUE(MID(B76,12,5))))*24,1),"")</f>
        <v/>
      </c>
    </row>
    <row r="77">
      <c r="D77" s="16">
        <f>IF(AND(B77&lt;&gt;"",C77&lt;&gt;""),ROUND((IF(ISNUMBER(C77),C77,DATEVALUE(LEFT(C77,10))+TIMEVALUE(MID(C77,12,5)))-IF(ISNUMBER(B77),B77,DATEVALUE(LEFT(B77,10))+TIMEVALUE(MID(B77,12,5))))*24,1),"")</f>
        <v/>
      </c>
    </row>
    <row r="78">
      <c r="D78" s="16">
        <f>IF(AND(B78&lt;&gt;"",C78&lt;&gt;""),ROUND((IF(ISNUMBER(C78),C78,DATEVALUE(LEFT(C78,10))+TIMEVALUE(MID(C78,12,5)))-IF(ISNUMBER(B78),B78,DATEVALUE(LEFT(B78,10))+TIMEVALUE(MID(B78,12,5))))*24,1),"")</f>
        <v/>
      </c>
    </row>
    <row r="79">
      <c r="D79" s="16">
        <f>IF(AND(B79&lt;&gt;"",C79&lt;&gt;""),ROUND((IF(ISNUMBER(C79),C79,DATEVALUE(LEFT(C79,10))+TIMEVALUE(MID(C79,12,5)))-IF(ISNUMBER(B79),B79,DATEVALUE(LEFT(B79,10))+TIMEVALUE(MID(B79,12,5))))*24,1),"")</f>
        <v/>
      </c>
    </row>
    <row r="80">
      <c r="D80" s="16">
        <f>IF(AND(B80&lt;&gt;"",C80&lt;&gt;""),ROUND((IF(ISNUMBER(C80),C80,DATEVALUE(LEFT(C80,10))+TIMEVALUE(MID(C80,12,5)))-IF(ISNUMBER(B80),B80,DATEVALUE(LEFT(B80,10))+TIMEVALUE(MID(B80,12,5))))*24,1),"")</f>
        <v/>
      </c>
    </row>
    <row r="81">
      <c r="D81" s="16">
        <f>IF(AND(B81&lt;&gt;"",C81&lt;&gt;""),ROUND((IF(ISNUMBER(C81),C81,DATEVALUE(LEFT(C81,10))+TIMEVALUE(MID(C81,12,5)))-IF(ISNUMBER(B81),B81,DATEVALUE(LEFT(B81,10))+TIMEVALUE(MID(B81,12,5))))*24,1),"")</f>
        <v/>
      </c>
    </row>
    <row r="82">
      <c r="D82" s="16">
        <f>IF(AND(B82&lt;&gt;"",C82&lt;&gt;""),ROUND((IF(ISNUMBER(C82),C82,DATEVALUE(LEFT(C82,10))+TIMEVALUE(MID(C82,12,5)))-IF(ISNUMBER(B82),B82,DATEVALUE(LEFT(B82,10))+TIMEVALUE(MID(B82,12,5))))*24,1),"")</f>
        <v/>
      </c>
    </row>
    <row r="83">
      <c r="D83" s="16">
        <f>IF(AND(B83&lt;&gt;"",C83&lt;&gt;""),ROUND((IF(ISNUMBER(C83),C83,DATEVALUE(LEFT(C83,10))+TIMEVALUE(MID(C83,12,5)))-IF(ISNUMBER(B83),B83,DATEVALUE(LEFT(B83,10))+TIMEVALUE(MID(B83,12,5))))*24,1),"")</f>
        <v/>
      </c>
    </row>
    <row r="84">
      <c r="D84" s="16">
        <f>IF(AND(B84&lt;&gt;"",C84&lt;&gt;""),ROUND((IF(ISNUMBER(C84),C84,DATEVALUE(LEFT(C84,10))+TIMEVALUE(MID(C84,12,5)))-IF(ISNUMBER(B84),B84,DATEVALUE(LEFT(B84,10))+TIMEVALUE(MID(B84,12,5))))*24,1),"")</f>
        <v/>
      </c>
    </row>
    <row r="85">
      <c r="D85" s="16">
        <f>IF(AND(B85&lt;&gt;"",C85&lt;&gt;""),ROUND((IF(ISNUMBER(C85),C85,DATEVALUE(LEFT(C85,10))+TIMEVALUE(MID(C85,12,5)))-IF(ISNUMBER(B85),B85,DATEVALUE(LEFT(B85,10))+TIMEVALUE(MID(B85,12,5))))*24,1),"")</f>
        <v/>
      </c>
    </row>
    <row r="86">
      <c r="D86" s="16">
        <f>IF(AND(B86&lt;&gt;"",C86&lt;&gt;""),ROUND((IF(ISNUMBER(C86),C86,DATEVALUE(LEFT(C86,10))+TIMEVALUE(MID(C86,12,5)))-IF(ISNUMBER(B86),B86,DATEVALUE(LEFT(B86,10))+TIMEVALUE(MID(B86,12,5))))*24,1),"")</f>
        <v/>
      </c>
    </row>
    <row r="87">
      <c r="D87" s="16">
        <f>IF(AND(B87&lt;&gt;"",C87&lt;&gt;""),ROUND((IF(ISNUMBER(C87),C87,DATEVALUE(LEFT(C87,10))+TIMEVALUE(MID(C87,12,5)))-IF(ISNUMBER(B87),B87,DATEVALUE(LEFT(B87,10))+TIMEVALUE(MID(B87,12,5))))*24,1),"")</f>
        <v/>
      </c>
    </row>
    <row r="88">
      <c r="D88" s="16">
        <f>IF(AND(B88&lt;&gt;"",C88&lt;&gt;""),ROUND((IF(ISNUMBER(C88),C88,DATEVALUE(LEFT(C88,10))+TIMEVALUE(MID(C88,12,5)))-IF(ISNUMBER(B88),B88,DATEVALUE(LEFT(B88,10))+TIMEVALUE(MID(B88,12,5))))*24,1),"")</f>
        <v/>
      </c>
    </row>
    <row r="89">
      <c r="D89" s="16">
        <f>IF(AND(B89&lt;&gt;"",C89&lt;&gt;""),ROUND((IF(ISNUMBER(C89),C89,DATEVALUE(LEFT(C89,10))+TIMEVALUE(MID(C89,12,5)))-IF(ISNUMBER(B89),B89,DATEVALUE(LEFT(B89,10))+TIMEVALUE(MID(B89,12,5))))*24,1),"")</f>
        <v/>
      </c>
    </row>
    <row r="90">
      <c r="D90" s="16">
        <f>IF(AND(B90&lt;&gt;"",C90&lt;&gt;""),ROUND((IF(ISNUMBER(C90),C90,DATEVALUE(LEFT(C90,10))+TIMEVALUE(MID(C90,12,5)))-IF(ISNUMBER(B90),B90,DATEVALUE(LEFT(B90,10))+TIMEVALUE(MID(B90,12,5))))*24,1),"")</f>
        <v/>
      </c>
    </row>
    <row r="91">
      <c r="D91" s="16">
        <f>IF(AND(B91&lt;&gt;"",C91&lt;&gt;""),ROUND((IF(ISNUMBER(C91),C91,DATEVALUE(LEFT(C91,10))+TIMEVALUE(MID(C91,12,5)))-IF(ISNUMBER(B91),B91,DATEVALUE(LEFT(B91,10))+TIMEVALUE(MID(B91,12,5))))*24,1),"")</f>
        <v/>
      </c>
    </row>
    <row r="92">
      <c r="D92" s="16">
        <f>IF(AND(B92&lt;&gt;"",C92&lt;&gt;""),ROUND((IF(ISNUMBER(C92),C92,DATEVALUE(LEFT(C92,10))+TIMEVALUE(MID(C92,12,5)))-IF(ISNUMBER(B92),B92,DATEVALUE(LEFT(B92,10))+TIMEVALUE(MID(B92,12,5))))*24,1),"")</f>
        <v/>
      </c>
    </row>
    <row r="93">
      <c r="D93" s="16">
        <f>IF(AND(B93&lt;&gt;"",C93&lt;&gt;""),ROUND((IF(ISNUMBER(C93),C93,DATEVALUE(LEFT(C93,10))+TIMEVALUE(MID(C93,12,5)))-IF(ISNUMBER(B93),B93,DATEVALUE(LEFT(B93,10))+TIMEVALUE(MID(B93,12,5))))*24,1),"")</f>
        <v/>
      </c>
    </row>
    <row r="94">
      <c r="D94" s="16">
        <f>IF(AND(B94&lt;&gt;"",C94&lt;&gt;""),ROUND((IF(ISNUMBER(C94),C94,DATEVALUE(LEFT(C94,10))+TIMEVALUE(MID(C94,12,5)))-IF(ISNUMBER(B94),B94,DATEVALUE(LEFT(B94,10))+TIMEVALUE(MID(B94,12,5))))*24,1),"")</f>
        <v/>
      </c>
    </row>
    <row r="95">
      <c r="D95" s="16">
        <f>IF(AND(B95&lt;&gt;"",C95&lt;&gt;""),ROUND((IF(ISNUMBER(C95),C95,DATEVALUE(LEFT(C95,10))+TIMEVALUE(MID(C95,12,5)))-IF(ISNUMBER(B95),B95,DATEVALUE(LEFT(B95,10))+TIMEVALUE(MID(B95,12,5))))*24,1),"")</f>
        <v/>
      </c>
    </row>
    <row r="96">
      <c r="D96" s="16">
        <f>IF(AND(B96&lt;&gt;"",C96&lt;&gt;""),ROUND((IF(ISNUMBER(C96),C96,DATEVALUE(LEFT(C96,10))+TIMEVALUE(MID(C96,12,5)))-IF(ISNUMBER(B96),B96,DATEVALUE(LEFT(B96,10))+TIMEVALUE(MID(B96,12,5))))*24,1),"")</f>
        <v/>
      </c>
    </row>
    <row r="97">
      <c r="D97" s="16">
        <f>IF(AND(B97&lt;&gt;"",C97&lt;&gt;""),ROUND((IF(ISNUMBER(C97),C97,DATEVALUE(LEFT(C97,10))+TIMEVALUE(MID(C97,12,5)))-IF(ISNUMBER(B97),B97,DATEVALUE(LEFT(B97,10))+TIMEVALUE(MID(B97,12,5))))*24,1),"")</f>
        <v/>
      </c>
    </row>
    <row r="98">
      <c r="D98" s="16">
        <f>IF(AND(B98&lt;&gt;"",C98&lt;&gt;""),ROUND((IF(ISNUMBER(C98),C98,DATEVALUE(LEFT(C98,10))+TIMEVALUE(MID(C98,12,5)))-IF(ISNUMBER(B98),B98,DATEVALUE(LEFT(B98,10))+TIMEVALUE(MID(B98,12,5))))*24,1),"")</f>
        <v/>
      </c>
    </row>
    <row r="99">
      <c r="D99" s="16">
        <f>IF(AND(B99&lt;&gt;"",C99&lt;&gt;""),ROUND((IF(ISNUMBER(C99),C99,DATEVALUE(LEFT(C99,10))+TIMEVALUE(MID(C99,12,5)))-IF(ISNUMBER(B99),B99,DATEVALUE(LEFT(B99,10))+TIMEVALUE(MID(B99,12,5))))*24,1),"")</f>
        <v/>
      </c>
    </row>
    <row r="100">
      <c r="D100" s="16">
        <f>IF(AND(B100&lt;&gt;"",C100&lt;&gt;""),ROUND((IF(ISNUMBER(C100),C100,DATEVALUE(LEFT(C100,10))+TIMEVALUE(MID(C100,12,5)))-IF(ISNUMBER(B100),B100,DATEVALUE(LEFT(B100,10))+TIMEVALUE(MID(B100,12,5))))*24,1),"")</f>
        <v/>
      </c>
    </row>
    <row r="101">
      <c r="D101" s="16">
        <f>IF(AND(B101&lt;&gt;"",C101&lt;&gt;""),ROUND((IF(ISNUMBER(C101),C101,DATEVALUE(LEFT(C101,10))+TIMEVALUE(MID(C101,12,5)))-IF(ISNUMBER(B101),B101,DATEVALUE(LEFT(B101,10))+TIMEVALUE(MID(B101,12,5))))*24,1),"")</f>
        <v/>
      </c>
    </row>
    <row r="102">
      <c r="D102" s="16">
        <f>IF(AND(B102&lt;&gt;"",C102&lt;&gt;""),ROUND((IF(ISNUMBER(C102),C102,DATEVALUE(LEFT(C102,10))+TIMEVALUE(MID(C102,12,5)))-IF(ISNUMBER(B102),B102,DATEVALUE(LEFT(B102,10))+TIMEVALUE(MID(B102,12,5))))*24,1),"")</f>
        <v/>
      </c>
    </row>
    <row r="103">
      <c r="D103" s="16">
        <f>IF(AND(B103&lt;&gt;"",C103&lt;&gt;""),ROUND((IF(ISNUMBER(C103),C103,DATEVALUE(LEFT(C103,10))+TIMEVALUE(MID(C103,12,5)))-IF(ISNUMBER(B103),B103,DATEVALUE(LEFT(B103,10))+TIMEVALUE(MID(B103,12,5))))*24,1),"")</f>
        <v/>
      </c>
    </row>
    <row r="104">
      <c r="D104" s="16">
        <f>IF(AND(B104&lt;&gt;"",C104&lt;&gt;""),ROUND((IF(ISNUMBER(C104),C104,DATEVALUE(LEFT(C104,10))+TIMEVALUE(MID(C104,12,5)))-IF(ISNUMBER(B104),B104,DATEVALUE(LEFT(B104,10))+TIMEVALUE(MID(B104,12,5))))*24,1),"")</f>
        <v/>
      </c>
    </row>
    <row r="105">
      <c r="D105" s="16">
        <f>IF(AND(B105&lt;&gt;"",C105&lt;&gt;""),ROUND((IF(ISNUMBER(C105),C105,DATEVALUE(LEFT(C105,10))+TIMEVALUE(MID(C105,12,5)))-IF(ISNUMBER(B105),B105,DATEVALUE(LEFT(B105,10))+TIMEVALUE(MID(B105,12,5))))*24,1),"")</f>
        <v/>
      </c>
    </row>
    <row r="106">
      <c r="D106" s="16">
        <f>IF(AND(B106&lt;&gt;"",C106&lt;&gt;""),ROUND((IF(ISNUMBER(C106),C106,DATEVALUE(LEFT(C106,10))+TIMEVALUE(MID(C106,12,5)))-IF(ISNUMBER(B106),B106,DATEVALUE(LEFT(B106,10))+TIMEVALUE(MID(B106,12,5))))*24,1),"")</f>
        <v/>
      </c>
    </row>
    <row r="107">
      <c r="D107" s="16">
        <f>IF(AND(B107&lt;&gt;"",C107&lt;&gt;""),ROUND((IF(ISNUMBER(C107),C107,DATEVALUE(LEFT(C107,10))+TIMEVALUE(MID(C107,12,5)))-IF(ISNUMBER(B107),B107,DATEVALUE(LEFT(B107,10))+TIMEVALUE(MID(B107,12,5))))*24,1),"")</f>
        <v/>
      </c>
    </row>
    <row r="108">
      <c r="D108" s="16">
        <f>IF(AND(B108&lt;&gt;"",C108&lt;&gt;""),ROUND((IF(ISNUMBER(C108),C108,DATEVALUE(LEFT(C108,10))+TIMEVALUE(MID(C108,12,5)))-IF(ISNUMBER(B108),B108,DATEVALUE(LEFT(B108,10))+TIMEVALUE(MID(B108,12,5))))*24,1),"")</f>
        <v/>
      </c>
    </row>
    <row r="109">
      <c r="D109" s="16">
        <f>IF(AND(B109&lt;&gt;"",C109&lt;&gt;""),ROUND((IF(ISNUMBER(C109),C109,DATEVALUE(LEFT(C109,10))+TIMEVALUE(MID(C109,12,5)))-IF(ISNUMBER(B109),B109,DATEVALUE(LEFT(B109,10))+TIMEVALUE(MID(B109,12,5))))*24,1),"")</f>
        <v/>
      </c>
    </row>
    <row r="110">
      <c r="D110" s="16">
        <f>IF(AND(B110&lt;&gt;"",C110&lt;&gt;""),ROUND((IF(ISNUMBER(C110),C110,DATEVALUE(LEFT(C110,10))+TIMEVALUE(MID(C110,12,5)))-IF(ISNUMBER(B110),B110,DATEVALUE(LEFT(B110,10))+TIMEVALUE(MID(B110,12,5))))*24,1),"")</f>
        <v/>
      </c>
    </row>
    <row r="111">
      <c r="D111" s="16">
        <f>IF(AND(B111&lt;&gt;"",C111&lt;&gt;""),ROUND((IF(ISNUMBER(C111),C111,DATEVALUE(LEFT(C111,10))+TIMEVALUE(MID(C111,12,5)))-IF(ISNUMBER(B111),B111,DATEVALUE(LEFT(B111,10))+TIMEVALUE(MID(B111,12,5))))*24,1),"")</f>
        <v/>
      </c>
    </row>
    <row r="112">
      <c r="D112" s="16">
        <f>IF(AND(B112&lt;&gt;"",C112&lt;&gt;""),ROUND((IF(ISNUMBER(C112),C112,DATEVALUE(LEFT(C112,10))+TIMEVALUE(MID(C112,12,5)))-IF(ISNUMBER(B112),B112,DATEVALUE(LEFT(B112,10))+TIMEVALUE(MID(B112,12,5))))*24,1),"")</f>
        <v/>
      </c>
    </row>
    <row r="113">
      <c r="D113" s="16">
        <f>IF(AND(B113&lt;&gt;"",C113&lt;&gt;""),ROUND((IF(ISNUMBER(C113),C113,DATEVALUE(LEFT(C113,10))+TIMEVALUE(MID(C113,12,5)))-IF(ISNUMBER(B113),B113,DATEVALUE(LEFT(B113,10))+TIMEVALUE(MID(B113,12,5))))*24,1),"")</f>
        <v/>
      </c>
    </row>
    <row r="114">
      <c r="D114" s="16">
        <f>IF(AND(B114&lt;&gt;"",C114&lt;&gt;""),ROUND((IF(ISNUMBER(C114),C114,DATEVALUE(LEFT(C114,10))+TIMEVALUE(MID(C114,12,5)))-IF(ISNUMBER(B114),B114,DATEVALUE(LEFT(B114,10))+TIMEVALUE(MID(B114,12,5))))*24,1),"")</f>
        <v/>
      </c>
    </row>
    <row r="115">
      <c r="D115" s="16">
        <f>IF(AND(B115&lt;&gt;"",C115&lt;&gt;""),ROUND((IF(ISNUMBER(C115),C115,DATEVALUE(LEFT(C115,10))+TIMEVALUE(MID(C115,12,5)))-IF(ISNUMBER(B115),B115,DATEVALUE(LEFT(B115,10))+TIMEVALUE(MID(B115,12,5))))*24,1),"")</f>
        <v/>
      </c>
    </row>
    <row r="116">
      <c r="D116" s="16">
        <f>IF(AND(B116&lt;&gt;"",C116&lt;&gt;""),ROUND((IF(ISNUMBER(C116),C116,DATEVALUE(LEFT(C116,10))+TIMEVALUE(MID(C116,12,5)))-IF(ISNUMBER(B116),B116,DATEVALUE(LEFT(B116,10))+TIMEVALUE(MID(B116,12,5))))*24,1),"")</f>
        <v/>
      </c>
    </row>
    <row r="117">
      <c r="D117" s="16">
        <f>IF(AND(B117&lt;&gt;"",C117&lt;&gt;""),ROUND((IF(ISNUMBER(C117),C117,DATEVALUE(LEFT(C117,10))+TIMEVALUE(MID(C117,12,5)))-IF(ISNUMBER(B117),B117,DATEVALUE(LEFT(B117,10))+TIMEVALUE(MID(B117,12,5))))*24,1),"")</f>
        <v/>
      </c>
    </row>
    <row r="118">
      <c r="D118" s="16">
        <f>IF(AND(B118&lt;&gt;"",C118&lt;&gt;""),ROUND((IF(ISNUMBER(C118),C118,DATEVALUE(LEFT(C118,10))+TIMEVALUE(MID(C118,12,5)))-IF(ISNUMBER(B118),B118,DATEVALUE(LEFT(B118,10))+TIMEVALUE(MID(B118,12,5))))*24,1),"")</f>
        <v/>
      </c>
    </row>
    <row r="119">
      <c r="D119" s="16">
        <f>IF(AND(B119&lt;&gt;"",C119&lt;&gt;""),ROUND((IF(ISNUMBER(C119),C119,DATEVALUE(LEFT(C119,10))+TIMEVALUE(MID(C119,12,5)))-IF(ISNUMBER(B119),B119,DATEVALUE(LEFT(B119,10))+TIMEVALUE(MID(B119,12,5))))*24,1),"")</f>
        <v/>
      </c>
    </row>
    <row r="120">
      <c r="D120" s="16">
        <f>IF(AND(B120&lt;&gt;"",C120&lt;&gt;""),ROUND((IF(ISNUMBER(C120),C120,DATEVALUE(LEFT(C120,10))+TIMEVALUE(MID(C120,12,5)))-IF(ISNUMBER(B120),B120,DATEVALUE(LEFT(B120,10))+TIMEVALUE(MID(B120,12,5))))*24,1),"")</f>
        <v/>
      </c>
    </row>
    <row r="121">
      <c r="D121" s="16">
        <f>IF(AND(B121&lt;&gt;"",C121&lt;&gt;""),ROUND((IF(ISNUMBER(C121),C121,DATEVALUE(LEFT(C121,10))+TIMEVALUE(MID(C121,12,5)))-IF(ISNUMBER(B121),B121,DATEVALUE(LEFT(B121,10))+TIMEVALUE(MID(B121,12,5))))*24,1),"")</f>
        <v/>
      </c>
    </row>
    <row r="122">
      <c r="D122" s="16">
        <f>IF(AND(B122&lt;&gt;"",C122&lt;&gt;""),ROUND((IF(ISNUMBER(C122),C122,DATEVALUE(LEFT(C122,10))+TIMEVALUE(MID(C122,12,5)))-IF(ISNUMBER(B122),B122,DATEVALUE(LEFT(B122,10))+TIMEVALUE(MID(B122,12,5))))*24,1),"")</f>
        <v/>
      </c>
    </row>
    <row r="123">
      <c r="D123" s="16">
        <f>IF(AND(B123&lt;&gt;"",C123&lt;&gt;""),ROUND((IF(ISNUMBER(C123),C123,DATEVALUE(LEFT(C123,10))+TIMEVALUE(MID(C123,12,5)))-IF(ISNUMBER(B123),B123,DATEVALUE(LEFT(B123,10))+TIMEVALUE(MID(B123,12,5))))*24,1),"")</f>
        <v/>
      </c>
    </row>
    <row r="124">
      <c r="D124" s="16">
        <f>IF(AND(B124&lt;&gt;"",C124&lt;&gt;""),ROUND((IF(ISNUMBER(C124),C124,DATEVALUE(LEFT(C124,10))+TIMEVALUE(MID(C124,12,5)))-IF(ISNUMBER(B124),B124,DATEVALUE(LEFT(B124,10))+TIMEVALUE(MID(B124,12,5))))*24,1),"")</f>
        <v/>
      </c>
    </row>
    <row r="125">
      <c r="D125" s="16">
        <f>IF(AND(B125&lt;&gt;"",C125&lt;&gt;""),ROUND((IF(ISNUMBER(C125),C125,DATEVALUE(LEFT(C125,10))+TIMEVALUE(MID(C125,12,5)))-IF(ISNUMBER(B125),B125,DATEVALUE(LEFT(B125,10))+TIMEVALUE(MID(B125,12,5))))*24,1),"")</f>
        <v/>
      </c>
    </row>
    <row r="126">
      <c r="D126" s="16">
        <f>IF(AND(B126&lt;&gt;"",C126&lt;&gt;""),ROUND((IF(ISNUMBER(C126),C126,DATEVALUE(LEFT(C126,10))+TIMEVALUE(MID(C126,12,5)))-IF(ISNUMBER(B126),B126,DATEVALUE(LEFT(B126,10))+TIMEVALUE(MID(B126,12,5))))*24,1),"")</f>
        <v/>
      </c>
    </row>
    <row r="127">
      <c r="D127" s="16">
        <f>IF(AND(B127&lt;&gt;"",C127&lt;&gt;""),ROUND((IF(ISNUMBER(C127),C127,DATEVALUE(LEFT(C127,10))+TIMEVALUE(MID(C127,12,5)))-IF(ISNUMBER(B127),B127,DATEVALUE(LEFT(B127,10))+TIMEVALUE(MID(B127,12,5))))*24,1),"")</f>
        <v/>
      </c>
    </row>
    <row r="128">
      <c r="D128" s="16">
        <f>IF(AND(B128&lt;&gt;"",C128&lt;&gt;""),ROUND((IF(ISNUMBER(C128),C128,DATEVALUE(LEFT(C128,10))+TIMEVALUE(MID(C128,12,5)))-IF(ISNUMBER(B128),B128,DATEVALUE(LEFT(B128,10))+TIMEVALUE(MID(B128,12,5))))*24,1),"")</f>
        <v/>
      </c>
    </row>
    <row r="129">
      <c r="D129" s="16">
        <f>IF(AND(B129&lt;&gt;"",C129&lt;&gt;""),ROUND((IF(ISNUMBER(C129),C129,DATEVALUE(LEFT(C129,10))+TIMEVALUE(MID(C129,12,5)))-IF(ISNUMBER(B129),B129,DATEVALUE(LEFT(B129,10))+TIMEVALUE(MID(B129,12,5))))*24,1),"")</f>
        <v/>
      </c>
    </row>
    <row r="130">
      <c r="D130" s="16">
        <f>IF(AND(B130&lt;&gt;"",C130&lt;&gt;""),ROUND((IF(ISNUMBER(C130),C130,DATEVALUE(LEFT(C130,10))+TIMEVALUE(MID(C130,12,5)))-IF(ISNUMBER(B130),B130,DATEVALUE(LEFT(B130,10))+TIMEVALUE(MID(B130,12,5))))*24,1),"")</f>
        <v/>
      </c>
    </row>
    <row r="131">
      <c r="D131" s="16">
        <f>IF(AND(B131&lt;&gt;"",C131&lt;&gt;""),ROUND((IF(ISNUMBER(C131),C131,DATEVALUE(LEFT(C131,10))+TIMEVALUE(MID(C131,12,5)))-IF(ISNUMBER(B131),B131,DATEVALUE(LEFT(B131,10))+TIMEVALUE(MID(B131,12,5))))*24,1),"")</f>
        <v/>
      </c>
    </row>
    <row r="132">
      <c r="D132" s="16">
        <f>IF(AND(B132&lt;&gt;"",C132&lt;&gt;""),ROUND((IF(ISNUMBER(C132),C132,DATEVALUE(LEFT(C132,10))+TIMEVALUE(MID(C132,12,5)))-IF(ISNUMBER(B132),B132,DATEVALUE(LEFT(B132,10))+TIMEVALUE(MID(B132,12,5))))*24,1),"")</f>
        <v/>
      </c>
    </row>
    <row r="133">
      <c r="D133" s="16">
        <f>IF(AND(B133&lt;&gt;"",C133&lt;&gt;""),ROUND((IF(ISNUMBER(C133),C133,DATEVALUE(LEFT(C133,10))+TIMEVALUE(MID(C133,12,5)))-IF(ISNUMBER(B133),B133,DATEVALUE(LEFT(B133,10))+TIMEVALUE(MID(B133,12,5))))*24,1),"")</f>
        <v/>
      </c>
    </row>
    <row r="134">
      <c r="D134" s="16">
        <f>IF(AND(B134&lt;&gt;"",C134&lt;&gt;""),ROUND((IF(ISNUMBER(C134),C134,DATEVALUE(LEFT(C134,10))+TIMEVALUE(MID(C134,12,5)))-IF(ISNUMBER(B134),B134,DATEVALUE(LEFT(B134,10))+TIMEVALUE(MID(B134,12,5))))*24,1),"")</f>
        <v/>
      </c>
    </row>
    <row r="135">
      <c r="D135" s="16">
        <f>IF(AND(B135&lt;&gt;"",C135&lt;&gt;""),ROUND((IF(ISNUMBER(C135),C135,DATEVALUE(LEFT(C135,10))+TIMEVALUE(MID(C135,12,5)))-IF(ISNUMBER(B135),B135,DATEVALUE(LEFT(B135,10))+TIMEVALUE(MID(B135,12,5))))*24,1),"")</f>
        <v/>
      </c>
    </row>
    <row r="136">
      <c r="D136" s="16">
        <f>IF(AND(B136&lt;&gt;"",C136&lt;&gt;""),ROUND((IF(ISNUMBER(C136),C136,DATEVALUE(LEFT(C136,10))+TIMEVALUE(MID(C136,12,5)))-IF(ISNUMBER(B136),B136,DATEVALUE(LEFT(B136,10))+TIMEVALUE(MID(B136,12,5))))*24,1),"")</f>
        <v/>
      </c>
    </row>
    <row r="137">
      <c r="D137" s="16">
        <f>IF(AND(B137&lt;&gt;"",C137&lt;&gt;""),ROUND((IF(ISNUMBER(C137),C137,DATEVALUE(LEFT(C137,10))+TIMEVALUE(MID(C137,12,5)))-IF(ISNUMBER(B137),B137,DATEVALUE(LEFT(B137,10))+TIMEVALUE(MID(B137,12,5))))*24,1),"")</f>
        <v/>
      </c>
    </row>
    <row r="138">
      <c r="D138" s="16">
        <f>IF(AND(B138&lt;&gt;"",C138&lt;&gt;""),ROUND((IF(ISNUMBER(C138),C138,DATEVALUE(LEFT(C138,10))+TIMEVALUE(MID(C138,12,5)))-IF(ISNUMBER(B138),B138,DATEVALUE(LEFT(B138,10))+TIMEVALUE(MID(B138,12,5))))*24,1),"")</f>
        <v/>
      </c>
    </row>
    <row r="139">
      <c r="D139" s="16">
        <f>IF(AND(B139&lt;&gt;"",C139&lt;&gt;""),ROUND((IF(ISNUMBER(C139),C139,DATEVALUE(LEFT(C139,10))+TIMEVALUE(MID(C139,12,5)))-IF(ISNUMBER(B139),B139,DATEVALUE(LEFT(B139,10))+TIMEVALUE(MID(B139,12,5))))*24,1),"")</f>
        <v/>
      </c>
    </row>
    <row r="140">
      <c r="D140" s="16">
        <f>IF(AND(B140&lt;&gt;"",C140&lt;&gt;""),ROUND((IF(ISNUMBER(C140),C140,DATEVALUE(LEFT(C140,10))+TIMEVALUE(MID(C140,12,5)))-IF(ISNUMBER(B140),B140,DATEVALUE(LEFT(B140,10))+TIMEVALUE(MID(B140,12,5))))*24,1),"")</f>
        <v/>
      </c>
    </row>
    <row r="141">
      <c r="D141" s="16">
        <f>IF(AND(B141&lt;&gt;"",C141&lt;&gt;""),ROUND((IF(ISNUMBER(C141),C141,DATEVALUE(LEFT(C141,10))+TIMEVALUE(MID(C141,12,5)))-IF(ISNUMBER(B141),B141,DATEVALUE(LEFT(B141,10))+TIMEVALUE(MID(B141,12,5))))*24,1),"")</f>
        <v/>
      </c>
    </row>
    <row r="142">
      <c r="D142" s="16">
        <f>IF(AND(B142&lt;&gt;"",C142&lt;&gt;""),ROUND((IF(ISNUMBER(C142),C142,DATEVALUE(LEFT(C142,10))+TIMEVALUE(MID(C142,12,5)))-IF(ISNUMBER(B142),B142,DATEVALUE(LEFT(B142,10))+TIMEVALUE(MID(B142,12,5))))*24,1),"")</f>
        <v/>
      </c>
    </row>
    <row r="143">
      <c r="D143" s="16">
        <f>IF(AND(B143&lt;&gt;"",C143&lt;&gt;""),ROUND((IF(ISNUMBER(C143),C143,DATEVALUE(LEFT(C143,10))+TIMEVALUE(MID(C143,12,5)))-IF(ISNUMBER(B143),B143,DATEVALUE(LEFT(B143,10))+TIMEVALUE(MID(B143,12,5))))*24,1),"")</f>
        <v/>
      </c>
    </row>
    <row r="144">
      <c r="D144" s="16">
        <f>IF(AND(B144&lt;&gt;"",C144&lt;&gt;""),ROUND((IF(ISNUMBER(C144),C144,DATEVALUE(LEFT(C144,10))+TIMEVALUE(MID(C144,12,5)))-IF(ISNUMBER(B144),B144,DATEVALUE(LEFT(B144,10))+TIMEVALUE(MID(B144,12,5))))*24,1),"")</f>
        <v/>
      </c>
    </row>
    <row r="145">
      <c r="D145" s="16">
        <f>IF(AND(B145&lt;&gt;"",C145&lt;&gt;""),ROUND((IF(ISNUMBER(C145),C145,DATEVALUE(LEFT(C145,10))+TIMEVALUE(MID(C145,12,5)))-IF(ISNUMBER(B145),B145,DATEVALUE(LEFT(B145,10))+TIMEVALUE(MID(B145,12,5))))*24,1),"")</f>
        <v/>
      </c>
    </row>
    <row r="146">
      <c r="D146" s="16">
        <f>IF(AND(B146&lt;&gt;"",C146&lt;&gt;""),ROUND((IF(ISNUMBER(C146),C146,DATEVALUE(LEFT(C146,10))+TIMEVALUE(MID(C146,12,5)))-IF(ISNUMBER(B146),B146,DATEVALUE(LEFT(B146,10))+TIMEVALUE(MID(B146,12,5))))*24,1),"")</f>
        <v/>
      </c>
    </row>
    <row r="147">
      <c r="D147" s="16">
        <f>IF(AND(B147&lt;&gt;"",C147&lt;&gt;""),ROUND((IF(ISNUMBER(C147),C147,DATEVALUE(LEFT(C147,10))+TIMEVALUE(MID(C147,12,5)))-IF(ISNUMBER(B147),B147,DATEVALUE(LEFT(B147,10))+TIMEVALUE(MID(B147,12,5))))*24,1),"")</f>
        <v/>
      </c>
    </row>
    <row r="148">
      <c r="D148" s="16">
        <f>IF(AND(B148&lt;&gt;"",C148&lt;&gt;""),ROUND((IF(ISNUMBER(C148),C148,DATEVALUE(LEFT(C148,10))+TIMEVALUE(MID(C148,12,5)))-IF(ISNUMBER(B148),B148,DATEVALUE(LEFT(B148,10))+TIMEVALUE(MID(B148,12,5))))*24,1),"")</f>
        <v/>
      </c>
    </row>
    <row r="149">
      <c r="D149" s="16">
        <f>IF(AND(B149&lt;&gt;"",C149&lt;&gt;""),ROUND((IF(ISNUMBER(C149),C149,DATEVALUE(LEFT(C149,10))+TIMEVALUE(MID(C149,12,5)))-IF(ISNUMBER(B149),B149,DATEVALUE(LEFT(B149,10))+TIMEVALUE(MID(B149,12,5))))*24,1),"")</f>
        <v/>
      </c>
    </row>
    <row r="150">
      <c r="D150" s="16">
        <f>IF(AND(B150&lt;&gt;"",C150&lt;&gt;""),ROUND((IF(ISNUMBER(C150),C150,DATEVALUE(LEFT(C150,10))+TIMEVALUE(MID(C150,12,5)))-IF(ISNUMBER(B150),B150,DATEVALUE(LEFT(B150,10))+TIMEVALUE(MID(B150,12,5))))*24,1),"")</f>
        <v/>
      </c>
    </row>
    <row r="151">
      <c r="D151" s="16">
        <f>IF(AND(B151&lt;&gt;"",C151&lt;&gt;""),ROUND((IF(ISNUMBER(C151),C151,DATEVALUE(LEFT(C151,10))+TIMEVALUE(MID(C151,12,5)))-IF(ISNUMBER(B151),B151,DATEVALUE(LEFT(B151,10))+TIMEVALUE(MID(B151,12,5))))*24,1),"")</f>
        <v/>
      </c>
    </row>
    <row r="152">
      <c r="D152" s="16">
        <f>IF(AND(B152&lt;&gt;"",C152&lt;&gt;""),ROUND((IF(ISNUMBER(C152),C152,DATEVALUE(LEFT(C152,10))+TIMEVALUE(MID(C152,12,5)))-IF(ISNUMBER(B152),B152,DATEVALUE(LEFT(B152,10))+TIMEVALUE(MID(B152,12,5))))*24,1),"")</f>
        <v/>
      </c>
    </row>
    <row r="153">
      <c r="D153" s="16">
        <f>IF(AND(B153&lt;&gt;"",C153&lt;&gt;""),ROUND((IF(ISNUMBER(C153),C153,DATEVALUE(LEFT(C153,10))+TIMEVALUE(MID(C153,12,5)))-IF(ISNUMBER(B153),B153,DATEVALUE(LEFT(B153,10))+TIMEVALUE(MID(B153,12,5))))*24,1),"")</f>
        <v/>
      </c>
    </row>
    <row r="154">
      <c r="D154" s="16">
        <f>IF(AND(B154&lt;&gt;"",C154&lt;&gt;""),ROUND((IF(ISNUMBER(C154),C154,DATEVALUE(LEFT(C154,10))+TIMEVALUE(MID(C154,12,5)))-IF(ISNUMBER(B154),B154,DATEVALUE(LEFT(B154,10))+TIMEVALUE(MID(B154,12,5))))*24,1),"")</f>
        <v/>
      </c>
    </row>
    <row r="155">
      <c r="D155" s="16">
        <f>IF(AND(B155&lt;&gt;"",C155&lt;&gt;""),ROUND((IF(ISNUMBER(C155),C155,DATEVALUE(LEFT(C155,10))+TIMEVALUE(MID(C155,12,5)))-IF(ISNUMBER(B155),B155,DATEVALUE(LEFT(B155,10))+TIMEVALUE(MID(B155,12,5))))*24,1),"")</f>
        <v/>
      </c>
    </row>
    <row r="156">
      <c r="D156" s="16">
        <f>IF(AND(B156&lt;&gt;"",C156&lt;&gt;""),ROUND((IF(ISNUMBER(C156),C156,DATEVALUE(LEFT(C156,10))+TIMEVALUE(MID(C156,12,5)))-IF(ISNUMBER(B156),B156,DATEVALUE(LEFT(B156,10))+TIMEVALUE(MID(B156,12,5))))*24,1),"")</f>
        <v/>
      </c>
    </row>
    <row r="157">
      <c r="D157" s="16">
        <f>IF(AND(B157&lt;&gt;"",C157&lt;&gt;""),ROUND((IF(ISNUMBER(C157),C157,DATEVALUE(LEFT(C157,10))+TIMEVALUE(MID(C157,12,5)))-IF(ISNUMBER(B157),B157,DATEVALUE(LEFT(B157,10))+TIMEVALUE(MID(B157,12,5))))*24,1),"")</f>
        <v/>
      </c>
    </row>
    <row r="158">
      <c r="D158" s="16">
        <f>IF(AND(B158&lt;&gt;"",C158&lt;&gt;""),ROUND((IF(ISNUMBER(C158),C158,DATEVALUE(LEFT(C158,10))+TIMEVALUE(MID(C158,12,5)))-IF(ISNUMBER(B158),B158,DATEVALUE(LEFT(B158,10))+TIMEVALUE(MID(B158,12,5))))*24,1),"")</f>
        <v/>
      </c>
    </row>
    <row r="159">
      <c r="D159" s="16">
        <f>IF(AND(B159&lt;&gt;"",C159&lt;&gt;""),ROUND((IF(ISNUMBER(C159),C159,DATEVALUE(LEFT(C159,10))+TIMEVALUE(MID(C159,12,5)))-IF(ISNUMBER(B159),B159,DATEVALUE(LEFT(B159,10))+TIMEVALUE(MID(B159,12,5))))*24,1),"")</f>
        <v/>
      </c>
    </row>
    <row r="160">
      <c r="D160" s="16">
        <f>IF(AND(B160&lt;&gt;"",C160&lt;&gt;""),ROUND((IF(ISNUMBER(C160),C160,DATEVALUE(LEFT(C160,10))+TIMEVALUE(MID(C160,12,5)))-IF(ISNUMBER(B160),B160,DATEVALUE(LEFT(B160,10))+TIMEVALUE(MID(B160,12,5))))*24,1),"")</f>
        <v/>
      </c>
    </row>
    <row r="161">
      <c r="D161" s="16">
        <f>IF(AND(B161&lt;&gt;"",C161&lt;&gt;""),ROUND((IF(ISNUMBER(C161),C161,DATEVALUE(LEFT(C161,10))+TIMEVALUE(MID(C161,12,5)))-IF(ISNUMBER(B161),B161,DATEVALUE(LEFT(B161,10))+TIMEVALUE(MID(B161,12,5))))*24,1),"")</f>
        <v/>
      </c>
    </row>
    <row r="162">
      <c r="D162" s="16">
        <f>IF(AND(B162&lt;&gt;"",C162&lt;&gt;""),ROUND((IF(ISNUMBER(C162),C162,DATEVALUE(LEFT(C162,10))+TIMEVALUE(MID(C162,12,5)))-IF(ISNUMBER(B162),B162,DATEVALUE(LEFT(B162,10))+TIMEVALUE(MID(B162,12,5))))*24,1),"")</f>
        <v/>
      </c>
    </row>
    <row r="163">
      <c r="D163" s="16">
        <f>IF(AND(B163&lt;&gt;"",C163&lt;&gt;""),ROUND((IF(ISNUMBER(C163),C163,DATEVALUE(LEFT(C163,10))+TIMEVALUE(MID(C163,12,5)))-IF(ISNUMBER(B163),B163,DATEVALUE(LEFT(B163,10))+TIMEVALUE(MID(B163,12,5))))*24,1),"")</f>
        <v/>
      </c>
    </row>
    <row r="164">
      <c r="D164" s="16">
        <f>IF(AND(B164&lt;&gt;"",C164&lt;&gt;""),ROUND((IF(ISNUMBER(C164),C164,DATEVALUE(LEFT(C164,10))+TIMEVALUE(MID(C164,12,5)))-IF(ISNUMBER(B164),B164,DATEVALUE(LEFT(B164,10))+TIMEVALUE(MID(B164,12,5))))*24,1),"")</f>
        <v/>
      </c>
    </row>
    <row r="165">
      <c r="D165" s="16">
        <f>IF(AND(B165&lt;&gt;"",C165&lt;&gt;""),ROUND((IF(ISNUMBER(C165),C165,DATEVALUE(LEFT(C165,10))+TIMEVALUE(MID(C165,12,5)))-IF(ISNUMBER(B165),B165,DATEVALUE(LEFT(B165,10))+TIMEVALUE(MID(B165,12,5))))*24,1),"")</f>
        <v/>
      </c>
    </row>
    <row r="166">
      <c r="D166" s="16">
        <f>IF(AND(B166&lt;&gt;"",C166&lt;&gt;""),ROUND((IF(ISNUMBER(C166),C166,DATEVALUE(LEFT(C166,10))+TIMEVALUE(MID(C166,12,5)))-IF(ISNUMBER(B166),B166,DATEVALUE(LEFT(B166,10))+TIMEVALUE(MID(B166,12,5))))*24,1),"")</f>
        <v/>
      </c>
    </row>
    <row r="167">
      <c r="D167" s="16">
        <f>IF(AND(B167&lt;&gt;"",C167&lt;&gt;""),ROUND((IF(ISNUMBER(C167),C167,DATEVALUE(LEFT(C167,10))+TIMEVALUE(MID(C167,12,5)))-IF(ISNUMBER(B167),B167,DATEVALUE(LEFT(B167,10))+TIMEVALUE(MID(B167,12,5))))*24,1),"")</f>
        <v/>
      </c>
    </row>
    <row r="168">
      <c r="D168" s="16">
        <f>IF(AND(B168&lt;&gt;"",C168&lt;&gt;""),ROUND((IF(ISNUMBER(C168),C168,DATEVALUE(LEFT(C168,10))+TIMEVALUE(MID(C168,12,5)))-IF(ISNUMBER(B168),B168,DATEVALUE(LEFT(B168,10))+TIMEVALUE(MID(B168,12,5))))*24,1),"")</f>
        <v/>
      </c>
    </row>
    <row r="169">
      <c r="D169" s="16">
        <f>IF(AND(B169&lt;&gt;"",C169&lt;&gt;""),ROUND((IF(ISNUMBER(C169),C169,DATEVALUE(LEFT(C169,10))+TIMEVALUE(MID(C169,12,5)))-IF(ISNUMBER(B169),B169,DATEVALUE(LEFT(B169,10))+TIMEVALUE(MID(B169,12,5))))*24,1),"")</f>
        <v/>
      </c>
    </row>
    <row r="170">
      <c r="D170" s="16">
        <f>IF(AND(B170&lt;&gt;"",C170&lt;&gt;""),ROUND((IF(ISNUMBER(C170),C170,DATEVALUE(LEFT(C170,10))+TIMEVALUE(MID(C170,12,5)))-IF(ISNUMBER(B170),B170,DATEVALUE(LEFT(B170,10))+TIMEVALUE(MID(B170,12,5))))*24,1),"")</f>
        <v/>
      </c>
    </row>
    <row r="171">
      <c r="D171" s="16">
        <f>IF(AND(B171&lt;&gt;"",C171&lt;&gt;""),ROUND((IF(ISNUMBER(C171),C171,DATEVALUE(LEFT(C171,10))+TIMEVALUE(MID(C171,12,5)))-IF(ISNUMBER(B171),B171,DATEVALUE(LEFT(B171,10))+TIMEVALUE(MID(B171,12,5))))*24,1),"")</f>
        <v/>
      </c>
    </row>
    <row r="172">
      <c r="D172" s="16">
        <f>IF(AND(B172&lt;&gt;"",C172&lt;&gt;""),ROUND((IF(ISNUMBER(C172),C172,DATEVALUE(LEFT(C172,10))+TIMEVALUE(MID(C172,12,5)))-IF(ISNUMBER(B172),B172,DATEVALUE(LEFT(B172,10))+TIMEVALUE(MID(B172,12,5))))*24,1),"")</f>
        <v/>
      </c>
    </row>
    <row r="173">
      <c r="D173" s="16">
        <f>IF(AND(B173&lt;&gt;"",C173&lt;&gt;""),ROUND((IF(ISNUMBER(C173),C173,DATEVALUE(LEFT(C173,10))+TIMEVALUE(MID(C173,12,5)))-IF(ISNUMBER(B173),B173,DATEVALUE(LEFT(B173,10))+TIMEVALUE(MID(B173,12,5))))*24,1),"")</f>
        <v/>
      </c>
    </row>
    <row r="174">
      <c r="D174" s="16">
        <f>IF(AND(B174&lt;&gt;"",C174&lt;&gt;""),ROUND((IF(ISNUMBER(C174),C174,DATEVALUE(LEFT(C174,10))+TIMEVALUE(MID(C174,12,5)))-IF(ISNUMBER(B174),B174,DATEVALUE(LEFT(B174,10))+TIMEVALUE(MID(B174,12,5))))*24,1),"")</f>
        <v/>
      </c>
    </row>
    <row r="175">
      <c r="D175" s="16">
        <f>IF(AND(B175&lt;&gt;"",C175&lt;&gt;""),ROUND((IF(ISNUMBER(C175),C175,DATEVALUE(LEFT(C175,10))+TIMEVALUE(MID(C175,12,5)))-IF(ISNUMBER(B175),B175,DATEVALUE(LEFT(B175,10))+TIMEVALUE(MID(B175,12,5))))*24,1),"")</f>
        <v/>
      </c>
    </row>
    <row r="176">
      <c r="D176" s="16">
        <f>IF(AND(B176&lt;&gt;"",C176&lt;&gt;""),ROUND((IF(ISNUMBER(C176),C176,DATEVALUE(LEFT(C176,10))+TIMEVALUE(MID(C176,12,5)))-IF(ISNUMBER(B176),B176,DATEVALUE(LEFT(B176,10))+TIMEVALUE(MID(B176,12,5))))*24,1),"")</f>
        <v/>
      </c>
    </row>
    <row r="177">
      <c r="D177" s="16">
        <f>IF(AND(B177&lt;&gt;"",C177&lt;&gt;""),ROUND((IF(ISNUMBER(C177),C177,DATEVALUE(LEFT(C177,10))+TIMEVALUE(MID(C177,12,5)))-IF(ISNUMBER(B177),B177,DATEVALUE(LEFT(B177,10))+TIMEVALUE(MID(B177,12,5))))*24,1),"")</f>
        <v/>
      </c>
    </row>
    <row r="178">
      <c r="D178" s="16">
        <f>IF(AND(B178&lt;&gt;"",C178&lt;&gt;""),ROUND((IF(ISNUMBER(C178),C178,DATEVALUE(LEFT(C178,10))+TIMEVALUE(MID(C178,12,5)))-IF(ISNUMBER(B178),B178,DATEVALUE(LEFT(B178,10))+TIMEVALUE(MID(B178,12,5))))*24,1),"")</f>
        <v/>
      </c>
    </row>
    <row r="179">
      <c r="D179" s="16">
        <f>IF(AND(B179&lt;&gt;"",C179&lt;&gt;""),ROUND((IF(ISNUMBER(C179),C179,DATEVALUE(LEFT(C179,10))+TIMEVALUE(MID(C179,12,5)))-IF(ISNUMBER(B179),B179,DATEVALUE(LEFT(B179,10))+TIMEVALUE(MID(B179,12,5))))*24,1),"")</f>
        <v/>
      </c>
    </row>
    <row r="180">
      <c r="D180" s="16">
        <f>IF(AND(B180&lt;&gt;"",C180&lt;&gt;""),ROUND((IF(ISNUMBER(C180),C180,DATEVALUE(LEFT(C180,10))+TIMEVALUE(MID(C180,12,5)))-IF(ISNUMBER(B180),B180,DATEVALUE(LEFT(B180,10))+TIMEVALUE(MID(B180,12,5))))*24,1),"")</f>
        <v/>
      </c>
    </row>
    <row r="181">
      <c r="D181" s="16">
        <f>IF(AND(B181&lt;&gt;"",C181&lt;&gt;""),ROUND((IF(ISNUMBER(C181),C181,DATEVALUE(LEFT(C181,10))+TIMEVALUE(MID(C181,12,5)))-IF(ISNUMBER(B181),B181,DATEVALUE(LEFT(B181,10))+TIMEVALUE(MID(B181,12,5))))*24,1),"")</f>
        <v/>
      </c>
    </row>
    <row r="182">
      <c r="D182" s="16">
        <f>IF(AND(B182&lt;&gt;"",C182&lt;&gt;""),ROUND((IF(ISNUMBER(C182),C182,DATEVALUE(LEFT(C182,10))+TIMEVALUE(MID(C182,12,5)))-IF(ISNUMBER(B182),B182,DATEVALUE(LEFT(B182,10))+TIMEVALUE(MID(B182,12,5))))*24,1),"")</f>
        <v/>
      </c>
    </row>
    <row r="183">
      <c r="D183" s="16">
        <f>IF(AND(B183&lt;&gt;"",C183&lt;&gt;""),ROUND((IF(ISNUMBER(C183),C183,DATEVALUE(LEFT(C183,10))+TIMEVALUE(MID(C183,12,5)))-IF(ISNUMBER(B183),B183,DATEVALUE(LEFT(B183,10))+TIMEVALUE(MID(B183,12,5))))*24,1),"")</f>
        <v/>
      </c>
    </row>
    <row r="184">
      <c r="D184" s="16">
        <f>IF(AND(B184&lt;&gt;"",C184&lt;&gt;""),ROUND((IF(ISNUMBER(C184),C184,DATEVALUE(LEFT(C184,10))+TIMEVALUE(MID(C184,12,5)))-IF(ISNUMBER(B184),B184,DATEVALUE(LEFT(B184,10))+TIMEVALUE(MID(B184,12,5))))*24,1),"")</f>
        <v/>
      </c>
    </row>
    <row r="185">
      <c r="D185" s="16">
        <f>IF(AND(B185&lt;&gt;"",C185&lt;&gt;""),ROUND((IF(ISNUMBER(C185),C185,DATEVALUE(LEFT(C185,10))+TIMEVALUE(MID(C185,12,5)))-IF(ISNUMBER(B185),B185,DATEVALUE(LEFT(B185,10))+TIMEVALUE(MID(B185,12,5))))*24,1),"")</f>
        <v/>
      </c>
    </row>
    <row r="186">
      <c r="D186" s="16">
        <f>IF(AND(B186&lt;&gt;"",C186&lt;&gt;""),ROUND((IF(ISNUMBER(C186),C186,DATEVALUE(LEFT(C186,10))+TIMEVALUE(MID(C186,12,5)))-IF(ISNUMBER(B186),B186,DATEVALUE(LEFT(B186,10))+TIMEVALUE(MID(B186,12,5))))*24,1),"")</f>
        <v/>
      </c>
    </row>
    <row r="187">
      <c r="D187" s="16">
        <f>IF(AND(B187&lt;&gt;"",C187&lt;&gt;""),ROUND((IF(ISNUMBER(C187),C187,DATEVALUE(LEFT(C187,10))+TIMEVALUE(MID(C187,12,5)))-IF(ISNUMBER(B187),B187,DATEVALUE(LEFT(B187,10))+TIMEVALUE(MID(B187,12,5))))*24,1),"")</f>
        <v/>
      </c>
    </row>
    <row r="188">
      <c r="D188" s="16">
        <f>IF(AND(B188&lt;&gt;"",C188&lt;&gt;""),ROUND((IF(ISNUMBER(C188),C188,DATEVALUE(LEFT(C188,10))+TIMEVALUE(MID(C188,12,5)))-IF(ISNUMBER(B188),B188,DATEVALUE(LEFT(B188,10))+TIMEVALUE(MID(B188,12,5))))*24,1),"")</f>
        <v/>
      </c>
    </row>
    <row r="189">
      <c r="D189" s="16">
        <f>IF(AND(B189&lt;&gt;"",C189&lt;&gt;""),ROUND((IF(ISNUMBER(C189),C189,DATEVALUE(LEFT(C189,10))+TIMEVALUE(MID(C189,12,5)))-IF(ISNUMBER(B189),B189,DATEVALUE(LEFT(B189,10))+TIMEVALUE(MID(B189,12,5))))*24,1),"")</f>
        <v/>
      </c>
    </row>
    <row r="190">
      <c r="D190" s="16">
        <f>IF(AND(B190&lt;&gt;"",C190&lt;&gt;""),ROUND((IF(ISNUMBER(C190),C190,DATEVALUE(LEFT(C190,10))+TIMEVALUE(MID(C190,12,5)))-IF(ISNUMBER(B190),B190,DATEVALUE(LEFT(B190,10))+TIMEVALUE(MID(B190,12,5))))*24,1),"")</f>
        <v/>
      </c>
    </row>
    <row r="191">
      <c r="D191" s="16">
        <f>IF(AND(B191&lt;&gt;"",C191&lt;&gt;""),ROUND((IF(ISNUMBER(C191),C191,DATEVALUE(LEFT(C191,10))+TIMEVALUE(MID(C191,12,5)))-IF(ISNUMBER(B191),B191,DATEVALUE(LEFT(B191,10))+TIMEVALUE(MID(B191,12,5))))*24,1),"")</f>
        <v/>
      </c>
    </row>
    <row r="192">
      <c r="D192" s="16">
        <f>IF(AND(B192&lt;&gt;"",C192&lt;&gt;""),ROUND((IF(ISNUMBER(C192),C192,DATEVALUE(LEFT(C192,10))+TIMEVALUE(MID(C192,12,5)))-IF(ISNUMBER(B192),B192,DATEVALUE(LEFT(B192,10))+TIMEVALUE(MID(B192,12,5))))*24,1),"")</f>
        <v/>
      </c>
    </row>
    <row r="193">
      <c r="D193" s="16">
        <f>IF(AND(B193&lt;&gt;"",C193&lt;&gt;""),ROUND((IF(ISNUMBER(C193),C193,DATEVALUE(LEFT(C193,10))+TIMEVALUE(MID(C193,12,5)))-IF(ISNUMBER(B193),B193,DATEVALUE(LEFT(B193,10))+TIMEVALUE(MID(B193,12,5))))*24,1),"")</f>
        <v/>
      </c>
    </row>
    <row r="194">
      <c r="D194" s="16">
        <f>IF(AND(B194&lt;&gt;"",C194&lt;&gt;""),ROUND((IF(ISNUMBER(C194),C194,DATEVALUE(LEFT(C194,10))+TIMEVALUE(MID(C194,12,5)))-IF(ISNUMBER(B194),B194,DATEVALUE(LEFT(B194,10))+TIMEVALUE(MID(B194,12,5))))*24,1),"")</f>
        <v/>
      </c>
    </row>
    <row r="195">
      <c r="D195" s="16">
        <f>IF(AND(B195&lt;&gt;"",C195&lt;&gt;""),ROUND((IF(ISNUMBER(C195),C195,DATEVALUE(LEFT(C195,10))+TIMEVALUE(MID(C195,12,5)))-IF(ISNUMBER(B195),B195,DATEVALUE(LEFT(B195,10))+TIMEVALUE(MID(B195,12,5))))*24,1),"")</f>
        <v/>
      </c>
    </row>
    <row r="196">
      <c r="D196" s="16">
        <f>IF(AND(B196&lt;&gt;"",C196&lt;&gt;""),ROUND((IF(ISNUMBER(C196),C196,DATEVALUE(LEFT(C196,10))+TIMEVALUE(MID(C196,12,5)))-IF(ISNUMBER(B196),B196,DATEVALUE(LEFT(B196,10))+TIMEVALUE(MID(B196,12,5))))*24,1),"")</f>
        <v/>
      </c>
    </row>
    <row r="197">
      <c r="D197" s="16">
        <f>IF(AND(B197&lt;&gt;"",C197&lt;&gt;""),ROUND((IF(ISNUMBER(C197),C197,DATEVALUE(LEFT(C197,10))+TIMEVALUE(MID(C197,12,5)))-IF(ISNUMBER(B197),B197,DATEVALUE(LEFT(B197,10))+TIMEVALUE(MID(B197,12,5))))*24,1),"")</f>
        <v/>
      </c>
    </row>
    <row r="198">
      <c r="D198" s="16">
        <f>IF(AND(B198&lt;&gt;"",C198&lt;&gt;""),ROUND((IF(ISNUMBER(C198),C198,DATEVALUE(LEFT(C198,10))+TIMEVALUE(MID(C198,12,5)))-IF(ISNUMBER(B198),B198,DATEVALUE(LEFT(B198,10))+TIMEVALUE(MID(B198,12,5))))*24,1),"")</f>
        <v/>
      </c>
    </row>
    <row r="199">
      <c r="D199" s="16">
        <f>IF(AND(B199&lt;&gt;"",C199&lt;&gt;""),ROUND((IF(ISNUMBER(C199),C199,DATEVALUE(LEFT(C199,10))+TIMEVALUE(MID(C199,12,5)))-IF(ISNUMBER(B199),B199,DATEVALUE(LEFT(B199,10))+TIMEVALUE(MID(B199,12,5))))*24,1),"")</f>
        <v/>
      </c>
    </row>
    <row r="200">
      <c r="D200" s="16">
        <f>IF(AND(B200&lt;&gt;"",C200&lt;&gt;""),ROUND((IF(ISNUMBER(C200),C200,DATEVALUE(LEFT(C200,10))+TIMEVALUE(MID(C200,12,5)))-IF(ISNUMBER(B200),B200,DATEVALUE(LEFT(B200,10))+TIMEVALUE(MID(B200,12,5))))*24,1),"")</f>
        <v/>
      </c>
    </row>
    <row r="201">
      <c r="D201" s="16">
        <f>IF(AND(B201&lt;&gt;"",C201&lt;&gt;""),ROUND((IF(ISNUMBER(C201),C201,DATEVALUE(LEFT(C201,10))+TIMEVALUE(MID(C201,12,5)))-IF(ISNUMBER(B201),B201,DATEVALUE(LEFT(B201,10))+TIMEVALUE(MID(B201,12,5))))*24,1),"")</f>
        <v/>
      </c>
    </row>
    <row r="202">
      <c r="D202" s="16">
        <f>IF(AND(B202&lt;&gt;"",C202&lt;&gt;""),ROUND((IF(ISNUMBER(C202),C202,DATEVALUE(LEFT(C202,10))+TIMEVALUE(MID(C202,12,5)))-IF(ISNUMBER(B202),B202,DATEVALUE(LEFT(B202,10))+TIMEVALUE(MID(B202,12,5))))*24,1),"")</f>
        <v/>
      </c>
    </row>
    <row r="203">
      <c r="D203" s="16">
        <f>IF(AND(B203&lt;&gt;"",C203&lt;&gt;""),ROUND((IF(ISNUMBER(C203),C203,DATEVALUE(LEFT(C203,10))+TIMEVALUE(MID(C203,12,5)))-IF(ISNUMBER(B203),B203,DATEVALUE(LEFT(B203,10))+TIMEVALUE(MID(B203,12,5))))*24,1),"")</f>
        <v/>
      </c>
    </row>
    <row r="204">
      <c r="D204" s="16">
        <f>IF(AND(B204&lt;&gt;"",C204&lt;&gt;""),ROUND((IF(ISNUMBER(C204),C204,DATEVALUE(LEFT(C204,10))+TIMEVALUE(MID(C204,12,5)))-IF(ISNUMBER(B204),B204,DATEVALUE(LEFT(B204,10))+TIMEVALUE(MID(B204,12,5))))*24,1),"")</f>
        <v/>
      </c>
    </row>
    <row r="205">
      <c r="D205" s="16">
        <f>IF(AND(B205&lt;&gt;"",C205&lt;&gt;""),ROUND((IF(ISNUMBER(C205),C205,DATEVALUE(LEFT(C205,10))+TIMEVALUE(MID(C205,12,5)))-IF(ISNUMBER(B205),B205,DATEVALUE(LEFT(B205,10))+TIMEVALUE(MID(B205,12,5))))*24,1),"")</f>
        <v/>
      </c>
    </row>
    <row r="206">
      <c r="D206" s="16">
        <f>IF(AND(B206&lt;&gt;"",C206&lt;&gt;""),ROUND((IF(ISNUMBER(C206),C206,DATEVALUE(LEFT(C206,10))+TIMEVALUE(MID(C206,12,5)))-IF(ISNUMBER(B206),B206,DATEVALUE(LEFT(B206,10))+TIMEVALUE(MID(B206,12,5))))*24,1),"")</f>
        <v/>
      </c>
    </row>
    <row r="207">
      <c r="D207" s="16">
        <f>IF(AND(B207&lt;&gt;"",C207&lt;&gt;""),ROUND((IF(ISNUMBER(C207),C207,DATEVALUE(LEFT(C207,10))+TIMEVALUE(MID(C207,12,5)))-IF(ISNUMBER(B207),B207,DATEVALUE(LEFT(B207,10))+TIMEVALUE(MID(B207,12,5))))*24,1),"")</f>
        <v/>
      </c>
    </row>
    <row r="208">
      <c r="D208" s="16">
        <f>IF(AND(B208&lt;&gt;"",C208&lt;&gt;""),ROUND((IF(ISNUMBER(C208),C208,DATEVALUE(LEFT(C208,10))+TIMEVALUE(MID(C208,12,5)))-IF(ISNUMBER(B208),B208,DATEVALUE(LEFT(B208,10))+TIMEVALUE(MID(B208,12,5))))*24,1),"")</f>
        <v/>
      </c>
    </row>
    <row r="209">
      <c r="D209" s="16">
        <f>IF(AND(B209&lt;&gt;"",C209&lt;&gt;""),ROUND((IF(ISNUMBER(C209),C209,DATEVALUE(LEFT(C209,10))+TIMEVALUE(MID(C209,12,5)))-IF(ISNUMBER(B209),B209,DATEVALUE(LEFT(B209,10))+TIMEVALUE(MID(B209,12,5))))*24,1),"")</f>
        <v/>
      </c>
    </row>
    <row r="210">
      <c r="D210" s="16">
        <f>IF(AND(B210&lt;&gt;"",C210&lt;&gt;""),ROUND((IF(ISNUMBER(C210),C210,DATEVALUE(LEFT(C210,10))+TIMEVALUE(MID(C210,12,5)))-IF(ISNUMBER(B210),B210,DATEVALUE(LEFT(B210,10))+TIMEVALUE(MID(B210,12,5))))*24,1),"")</f>
        <v/>
      </c>
    </row>
    <row r="211">
      <c r="D211" s="16">
        <f>IF(AND(B211&lt;&gt;"",C211&lt;&gt;""),ROUND((IF(ISNUMBER(C211),C211,DATEVALUE(LEFT(C211,10))+TIMEVALUE(MID(C211,12,5)))-IF(ISNUMBER(B211),B211,DATEVALUE(LEFT(B211,10))+TIMEVALUE(MID(B211,12,5))))*24,1),"")</f>
        <v/>
      </c>
    </row>
    <row r="212">
      <c r="D212" s="16">
        <f>IF(AND(B212&lt;&gt;"",C212&lt;&gt;""),ROUND((IF(ISNUMBER(C212),C212,DATEVALUE(LEFT(C212,10))+TIMEVALUE(MID(C212,12,5)))-IF(ISNUMBER(B212),B212,DATEVALUE(LEFT(B212,10))+TIMEVALUE(MID(B212,12,5))))*24,1),"")</f>
        <v/>
      </c>
    </row>
    <row r="213">
      <c r="D213" s="16">
        <f>IF(AND(B213&lt;&gt;"",C213&lt;&gt;""),ROUND((IF(ISNUMBER(C213),C213,DATEVALUE(LEFT(C213,10))+TIMEVALUE(MID(C213,12,5)))-IF(ISNUMBER(B213),B213,DATEVALUE(LEFT(B213,10))+TIMEVALUE(MID(B213,12,5))))*24,1),"")</f>
        <v/>
      </c>
    </row>
    <row r="214">
      <c r="D214" s="16">
        <f>IF(AND(B214&lt;&gt;"",C214&lt;&gt;""),ROUND((IF(ISNUMBER(C214),C214,DATEVALUE(LEFT(C214,10))+TIMEVALUE(MID(C214,12,5)))-IF(ISNUMBER(B214),B214,DATEVALUE(LEFT(B214,10))+TIMEVALUE(MID(B214,12,5))))*24,1),"")</f>
        <v/>
      </c>
    </row>
    <row r="215">
      <c r="D215" s="16">
        <f>IF(AND(B215&lt;&gt;"",C215&lt;&gt;""),ROUND((IF(ISNUMBER(C215),C215,DATEVALUE(LEFT(C215,10))+TIMEVALUE(MID(C215,12,5)))-IF(ISNUMBER(B215),B215,DATEVALUE(LEFT(B215,10))+TIMEVALUE(MID(B215,12,5))))*24,1),"")</f>
        <v/>
      </c>
    </row>
    <row r="216">
      <c r="D216" s="16">
        <f>IF(AND(B216&lt;&gt;"",C216&lt;&gt;""),ROUND((IF(ISNUMBER(C216),C216,DATEVALUE(LEFT(C216,10))+TIMEVALUE(MID(C216,12,5)))-IF(ISNUMBER(B216),B216,DATEVALUE(LEFT(B216,10))+TIMEVALUE(MID(B216,12,5))))*24,1),"")</f>
        <v/>
      </c>
    </row>
    <row r="217">
      <c r="D217" s="16">
        <f>IF(AND(B217&lt;&gt;"",C217&lt;&gt;""),ROUND((IF(ISNUMBER(C217),C217,DATEVALUE(LEFT(C217,10))+TIMEVALUE(MID(C217,12,5)))-IF(ISNUMBER(B217),B217,DATEVALUE(LEFT(B217,10))+TIMEVALUE(MID(B217,12,5))))*24,1),"")</f>
        <v/>
      </c>
    </row>
    <row r="218">
      <c r="D218" s="16">
        <f>IF(AND(B218&lt;&gt;"",C218&lt;&gt;""),ROUND((IF(ISNUMBER(C218),C218,DATEVALUE(LEFT(C218,10))+TIMEVALUE(MID(C218,12,5)))-IF(ISNUMBER(B218),B218,DATEVALUE(LEFT(B218,10))+TIMEVALUE(MID(B218,12,5))))*24,1),"")</f>
        <v/>
      </c>
    </row>
    <row r="219">
      <c r="D219" s="16">
        <f>IF(AND(B219&lt;&gt;"",C219&lt;&gt;""),ROUND((IF(ISNUMBER(C219),C219,DATEVALUE(LEFT(C219,10))+TIMEVALUE(MID(C219,12,5)))-IF(ISNUMBER(B219),B219,DATEVALUE(LEFT(B219,10))+TIMEVALUE(MID(B219,12,5))))*24,1),"")</f>
        <v/>
      </c>
    </row>
    <row r="220">
      <c r="D220" s="16">
        <f>IF(AND(B220&lt;&gt;"",C220&lt;&gt;""),ROUND((IF(ISNUMBER(C220),C220,DATEVALUE(LEFT(C220,10))+TIMEVALUE(MID(C220,12,5)))-IF(ISNUMBER(B220),B220,DATEVALUE(LEFT(B220,10))+TIMEVALUE(MID(B220,12,5))))*24,1),"")</f>
        <v/>
      </c>
    </row>
    <row r="221">
      <c r="D221" s="16">
        <f>IF(AND(B221&lt;&gt;"",C221&lt;&gt;""),ROUND((IF(ISNUMBER(C221),C221,DATEVALUE(LEFT(C221,10))+TIMEVALUE(MID(C221,12,5)))-IF(ISNUMBER(B221),B221,DATEVALUE(LEFT(B221,10))+TIMEVALUE(MID(B221,12,5))))*24,1),"")</f>
        <v/>
      </c>
    </row>
    <row r="222">
      <c r="D222" s="16">
        <f>IF(AND(B222&lt;&gt;"",C222&lt;&gt;""),ROUND((IF(ISNUMBER(C222),C222,DATEVALUE(LEFT(C222,10))+TIMEVALUE(MID(C222,12,5)))-IF(ISNUMBER(B222),B222,DATEVALUE(LEFT(B222,10))+TIMEVALUE(MID(B222,12,5))))*24,1),"")</f>
        <v/>
      </c>
    </row>
    <row r="223">
      <c r="D223" s="16">
        <f>IF(AND(B223&lt;&gt;"",C223&lt;&gt;""),ROUND((IF(ISNUMBER(C223),C223,DATEVALUE(LEFT(C223,10))+TIMEVALUE(MID(C223,12,5)))-IF(ISNUMBER(B223),B223,DATEVALUE(LEFT(B223,10))+TIMEVALUE(MID(B223,12,5))))*24,1),"")</f>
        <v/>
      </c>
    </row>
    <row r="224">
      <c r="D224" s="16">
        <f>IF(AND(B224&lt;&gt;"",C224&lt;&gt;""),ROUND((IF(ISNUMBER(C224),C224,DATEVALUE(LEFT(C224,10))+TIMEVALUE(MID(C224,12,5)))-IF(ISNUMBER(B224),B224,DATEVALUE(LEFT(B224,10))+TIMEVALUE(MID(B224,12,5))))*24,1),"")</f>
        <v/>
      </c>
    </row>
    <row r="225">
      <c r="D225" s="16">
        <f>IF(AND(B225&lt;&gt;"",C225&lt;&gt;""),ROUND((IF(ISNUMBER(C225),C225,DATEVALUE(LEFT(C225,10))+TIMEVALUE(MID(C225,12,5)))-IF(ISNUMBER(B225),B225,DATEVALUE(LEFT(B225,10))+TIMEVALUE(MID(B225,12,5))))*24,1),"")</f>
        <v/>
      </c>
    </row>
    <row r="226">
      <c r="D226" s="16">
        <f>IF(AND(B226&lt;&gt;"",C226&lt;&gt;""),ROUND((IF(ISNUMBER(C226),C226,DATEVALUE(LEFT(C226,10))+TIMEVALUE(MID(C226,12,5)))-IF(ISNUMBER(B226),B226,DATEVALUE(LEFT(B226,10))+TIMEVALUE(MID(B226,12,5))))*24,1),"")</f>
        <v/>
      </c>
    </row>
    <row r="227">
      <c r="D227" s="16">
        <f>IF(AND(B227&lt;&gt;"",C227&lt;&gt;""),ROUND((IF(ISNUMBER(C227),C227,DATEVALUE(LEFT(C227,10))+TIMEVALUE(MID(C227,12,5)))-IF(ISNUMBER(B227),B227,DATEVALUE(LEFT(B227,10))+TIMEVALUE(MID(B227,12,5))))*24,1),"")</f>
        <v/>
      </c>
    </row>
    <row r="228">
      <c r="D228" s="16">
        <f>IF(AND(B228&lt;&gt;"",C228&lt;&gt;""),ROUND((IF(ISNUMBER(C228),C228,DATEVALUE(LEFT(C228,10))+TIMEVALUE(MID(C228,12,5)))-IF(ISNUMBER(B228),B228,DATEVALUE(LEFT(B228,10))+TIMEVALUE(MID(B228,12,5))))*24,1),"")</f>
        <v/>
      </c>
    </row>
    <row r="229">
      <c r="D229" s="16">
        <f>IF(AND(B229&lt;&gt;"",C229&lt;&gt;""),ROUND((IF(ISNUMBER(C229),C229,DATEVALUE(LEFT(C229,10))+TIMEVALUE(MID(C229,12,5)))-IF(ISNUMBER(B229),B229,DATEVALUE(LEFT(B229,10))+TIMEVALUE(MID(B229,12,5))))*24,1),"")</f>
        <v/>
      </c>
    </row>
    <row r="230">
      <c r="D230" s="16">
        <f>IF(AND(B230&lt;&gt;"",C230&lt;&gt;""),ROUND((IF(ISNUMBER(C230),C230,DATEVALUE(LEFT(C230,10))+TIMEVALUE(MID(C230,12,5)))-IF(ISNUMBER(B230),B230,DATEVALUE(LEFT(B230,10))+TIMEVALUE(MID(B230,12,5))))*24,1),"")</f>
        <v/>
      </c>
    </row>
    <row r="231">
      <c r="D231" s="16">
        <f>IF(AND(B231&lt;&gt;"",C231&lt;&gt;""),ROUND((IF(ISNUMBER(C231),C231,DATEVALUE(LEFT(C231,10))+TIMEVALUE(MID(C231,12,5)))-IF(ISNUMBER(B231),B231,DATEVALUE(LEFT(B231,10))+TIMEVALUE(MID(B231,12,5))))*24,1),"")</f>
        <v/>
      </c>
    </row>
    <row r="232">
      <c r="D232" s="16">
        <f>IF(AND(B232&lt;&gt;"",C232&lt;&gt;""),ROUND((IF(ISNUMBER(C232),C232,DATEVALUE(LEFT(C232,10))+TIMEVALUE(MID(C232,12,5)))-IF(ISNUMBER(B232),B232,DATEVALUE(LEFT(B232,10))+TIMEVALUE(MID(B232,12,5))))*24,1),"")</f>
        <v/>
      </c>
    </row>
    <row r="233">
      <c r="D233" s="16">
        <f>IF(AND(B233&lt;&gt;"",C233&lt;&gt;""),ROUND((IF(ISNUMBER(C233),C233,DATEVALUE(LEFT(C233,10))+TIMEVALUE(MID(C233,12,5)))-IF(ISNUMBER(B233),B233,DATEVALUE(LEFT(B233,10))+TIMEVALUE(MID(B233,12,5))))*24,1),"")</f>
        <v/>
      </c>
    </row>
    <row r="234">
      <c r="D234" s="16">
        <f>IF(AND(B234&lt;&gt;"",C234&lt;&gt;""),ROUND((IF(ISNUMBER(C234),C234,DATEVALUE(LEFT(C234,10))+TIMEVALUE(MID(C234,12,5)))-IF(ISNUMBER(B234),B234,DATEVALUE(LEFT(B234,10))+TIMEVALUE(MID(B234,12,5))))*24,1),"")</f>
        <v/>
      </c>
    </row>
    <row r="235">
      <c r="D235" s="16">
        <f>IF(AND(B235&lt;&gt;"",C235&lt;&gt;""),ROUND((IF(ISNUMBER(C235),C235,DATEVALUE(LEFT(C235,10))+TIMEVALUE(MID(C235,12,5)))-IF(ISNUMBER(B235),B235,DATEVALUE(LEFT(B235,10))+TIMEVALUE(MID(B235,12,5))))*24,1),"")</f>
        <v/>
      </c>
    </row>
    <row r="236">
      <c r="D236" s="16">
        <f>IF(AND(B236&lt;&gt;"",C236&lt;&gt;""),ROUND((IF(ISNUMBER(C236),C236,DATEVALUE(LEFT(C236,10))+TIMEVALUE(MID(C236,12,5)))-IF(ISNUMBER(B236),B236,DATEVALUE(LEFT(B236,10))+TIMEVALUE(MID(B236,12,5))))*24,1),"")</f>
        <v/>
      </c>
    </row>
    <row r="237">
      <c r="D237" s="16">
        <f>IF(AND(B237&lt;&gt;"",C237&lt;&gt;""),ROUND((IF(ISNUMBER(C237),C237,DATEVALUE(LEFT(C237,10))+TIMEVALUE(MID(C237,12,5)))-IF(ISNUMBER(B237),B237,DATEVALUE(LEFT(B237,10))+TIMEVALUE(MID(B237,12,5))))*24,1),"")</f>
        <v/>
      </c>
    </row>
    <row r="238">
      <c r="D238" s="16">
        <f>IF(AND(B238&lt;&gt;"",C238&lt;&gt;""),ROUND((IF(ISNUMBER(C238),C238,DATEVALUE(LEFT(C238,10))+TIMEVALUE(MID(C238,12,5)))-IF(ISNUMBER(B238),B238,DATEVALUE(LEFT(B238,10))+TIMEVALUE(MID(B238,12,5))))*24,1),"")</f>
        <v/>
      </c>
    </row>
    <row r="239">
      <c r="D239" s="16">
        <f>IF(AND(B239&lt;&gt;"",C239&lt;&gt;""),ROUND((IF(ISNUMBER(C239),C239,DATEVALUE(LEFT(C239,10))+TIMEVALUE(MID(C239,12,5)))-IF(ISNUMBER(B239),B239,DATEVALUE(LEFT(B239,10))+TIMEVALUE(MID(B239,12,5))))*24,1),"")</f>
        <v/>
      </c>
    </row>
    <row r="240">
      <c r="D240" s="16">
        <f>IF(AND(B240&lt;&gt;"",C240&lt;&gt;""),ROUND((IF(ISNUMBER(C240),C240,DATEVALUE(LEFT(C240,10))+TIMEVALUE(MID(C240,12,5)))-IF(ISNUMBER(B240),B240,DATEVALUE(LEFT(B240,10))+TIMEVALUE(MID(B240,12,5))))*24,1),"")</f>
        <v/>
      </c>
    </row>
    <row r="241">
      <c r="D241" s="16">
        <f>IF(AND(B241&lt;&gt;"",C241&lt;&gt;""),ROUND((IF(ISNUMBER(C241),C241,DATEVALUE(LEFT(C241,10))+TIMEVALUE(MID(C241,12,5)))-IF(ISNUMBER(B241),B241,DATEVALUE(LEFT(B241,10))+TIMEVALUE(MID(B241,12,5))))*24,1),"")</f>
        <v/>
      </c>
    </row>
    <row r="242">
      <c r="D242" s="16">
        <f>IF(AND(B242&lt;&gt;"",C242&lt;&gt;""),ROUND((IF(ISNUMBER(C242),C242,DATEVALUE(LEFT(C242,10))+TIMEVALUE(MID(C242,12,5)))-IF(ISNUMBER(B242),B242,DATEVALUE(LEFT(B242,10))+TIMEVALUE(MID(B242,12,5))))*24,1),"")</f>
        <v/>
      </c>
    </row>
    <row r="243">
      <c r="D243" s="16">
        <f>IF(AND(B243&lt;&gt;"",C243&lt;&gt;""),ROUND((IF(ISNUMBER(C243),C243,DATEVALUE(LEFT(C243,10))+TIMEVALUE(MID(C243,12,5)))-IF(ISNUMBER(B243),B243,DATEVALUE(LEFT(B243,10))+TIMEVALUE(MID(B243,12,5))))*24,1),"")</f>
        <v/>
      </c>
    </row>
    <row r="244">
      <c r="D244" s="16">
        <f>IF(AND(B244&lt;&gt;"",C244&lt;&gt;""),ROUND((IF(ISNUMBER(C244),C244,DATEVALUE(LEFT(C244,10))+TIMEVALUE(MID(C244,12,5)))-IF(ISNUMBER(B244),B244,DATEVALUE(LEFT(B244,10))+TIMEVALUE(MID(B244,12,5))))*24,1),"")</f>
        <v/>
      </c>
    </row>
    <row r="245">
      <c r="D245" s="16">
        <f>IF(AND(B245&lt;&gt;"",C245&lt;&gt;""),ROUND((IF(ISNUMBER(C245),C245,DATEVALUE(LEFT(C245,10))+TIMEVALUE(MID(C245,12,5)))-IF(ISNUMBER(B245),B245,DATEVALUE(LEFT(B245,10))+TIMEVALUE(MID(B245,12,5))))*24,1),"")</f>
        <v/>
      </c>
    </row>
    <row r="246">
      <c r="D246" s="16">
        <f>IF(AND(B246&lt;&gt;"",C246&lt;&gt;""),ROUND((IF(ISNUMBER(C246),C246,DATEVALUE(LEFT(C246,10))+TIMEVALUE(MID(C246,12,5)))-IF(ISNUMBER(B246),B246,DATEVALUE(LEFT(B246,10))+TIMEVALUE(MID(B246,12,5))))*24,1),"")</f>
        <v/>
      </c>
    </row>
    <row r="247">
      <c r="D247" s="16">
        <f>IF(AND(B247&lt;&gt;"",C247&lt;&gt;""),ROUND((IF(ISNUMBER(C247),C247,DATEVALUE(LEFT(C247,10))+TIMEVALUE(MID(C247,12,5)))-IF(ISNUMBER(B247),B247,DATEVALUE(LEFT(B247,10))+TIMEVALUE(MID(B247,12,5))))*24,1),"")</f>
        <v/>
      </c>
    </row>
    <row r="248">
      <c r="D248" s="16">
        <f>IF(AND(B248&lt;&gt;"",C248&lt;&gt;""),ROUND((IF(ISNUMBER(C248),C248,DATEVALUE(LEFT(C248,10))+TIMEVALUE(MID(C248,12,5)))-IF(ISNUMBER(B248),B248,DATEVALUE(LEFT(B248,10))+TIMEVALUE(MID(B248,12,5))))*24,1),"")</f>
        <v/>
      </c>
    </row>
    <row r="249">
      <c r="D249" s="16">
        <f>IF(AND(B249&lt;&gt;"",C249&lt;&gt;""),ROUND((IF(ISNUMBER(C249),C249,DATEVALUE(LEFT(C249,10))+TIMEVALUE(MID(C249,12,5)))-IF(ISNUMBER(B249),B249,DATEVALUE(LEFT(B249,10))+TIMEVALUE(MID(B249,12,5))))*24,1),"")</f>
        <v/>
      </c>
    </row>
    <row r="250">
      <c r="D250" s="16">
        <f>IF(AND(B250&lt;&gt;"",C250&lt;&gt;""),ROUND((IF(ISNUMBER(C250),C250,DATEVALUE(LEFT(C250,10))+TIMEVALUE(MID(C250,12,5)))-IF(ISNUMBER(B250),B250,DATEVALUE(LEFT(B250,10))+TIMEVALUE(MID(B250,12,5))))*24,1),"")</f>
        <v/>
      </c>
    </row>
    <row r="251">
      <c r="D251" s="16">
        <f>IF(AND(B251&lt;&gt;"",C251&lt;&gt;""),ROUND((IF(ISNUMBER(C251),C251,DATEVALUE(LEFT(C251,10))+TIMEVALUE(MID(C251,12,5)))-IF(ISNUMBER(B251),B251,DATEVALUE(LEFT(B251,10))+TIMEVALUE(MID(B251,12,5))))*24,1),"")</f>
        <v/>
      </c>
    </row>
    <row r="252">
      <c r="D252" s="16">
        <f>IF(AND(B252&lt;&gt;"",C252&lt;&gt;""),ROUND((IF(ISNUMBER(C252),C252,DATEVALUE(LEFT(C252,10))+TIMEVALUE(MID(C252,12,5)))-IF(ISNUMBER(B252),B252,DATEVALUE(LEFT(B252,10))+TIMEVALUE(MID(B252,12,5))))*24,1),"")</f>
        <v/>
      </c>
    </row>
    <row r="253">
      <c r="D253" s="16">
        <f>IF(AND(B253&lt;&gt;"",C253&lt;&gt;""),ROUND((IF(ISNUMBER(C253),C253,DATEVALUE(LEFT(C253,10))+TIMEVALUE(MID(C253,12,5)))-IF(ISNUMBER(B253),B253,DATEVALUE(LEFT(B253,10))+TIMEVALUE(MID(B253,12,5))))*24,1),"")</f>
        <v/>
      </c>
    </row>
    <row r="254">
      <c r="D254" s="16">
        <f>IF(AND(B254&lt;&gt;"",C254&lt;&gt;""),ROUND((IF(ISNUMBER(C254),C254,DATEVALUE(LEFT(C254,10))+TIMEVALUE(MID(C254,12,5)))-IF(ISNUMBER(B254),B254,DATEVALUE(LEFT(B254,10))+TIMEVALUE(MID(B254,12,5))))*24,1),"")</f>
        <v/>
      </c>
    </row>
    <row r="255">
      <c r="D255" s="16">
        <f>IF(AND(B255&lt;&gt;"",C255&lt;&gt;""),ROUND((IF(ISNUMBER(C255),C255,DATEVALUE(LEFT(C255,10))+TIMEVALUE(MID(C255,12,5)))-IF(ISNUMBER(B255),B255,DATEVALUE(LEFT(B255,10))+TIMEVALUE(MID(B255,12,5))))*24,1),"")</f>
        <v/>
      </c>
    </row>
    <row r="256">
      <c r="D256" s="16">
        <f>IF(AND(B256&lt;&gt;"",C256&lt;&gt;""),ROUND((IF(ISNUMBER(C256),C256,DATEVALUE(LEFT(C256,10))+TIMEVALUE(MID(C256,12,5)))-IF(ISNUMBER(B256),B256,DATEVALUE(LEFT(B256,10))+TIMEVALUE(MID(B256,12,5))))*24,1),"")</f>
        <v/>
      </c>
    </row>
    <row r="257">
      <c r="D257" s="16">
        <f>IF(AND(B257&lt;&gt;"",C257&lt;&gt;""),ROUND((IF(ISNUMBER(C257),C257,DATEVALUE(LEFT(C257,10))+TIMEVALUE(MID(C257,12,5)))-IF(ISNUMBER(B257),B257,DATEVALUE(LEFT(B257,10))+TIMEVALUE(MID(B257,12,5))))*24,1),"")</f>
        <v/>
      </c>
    </row>
    <row r="258">
      <c r="D258" s="16">
        <f>IF(AND(B258&lt;&gt;"",C258&lt;&gt;""),ROUND((IF(ISNUMBER(C258),C258,DATEVALUE(LEFT(C258,10))+TIMEVALUE(MID(C258,12,5)))-IF(ISNUMBER(B258),B258,DATEVALUE(LEFT(B258,10))+TIMEVALUE(MID(B258,12,5))))*24,1),"")</f>
        <v/>
      </c>
    </row>
    <row r="259">
      <c r="D259" s="16">
        <f>IF(AND(B259&lt;&gt;"",C259&lt;&gt;""),ROUND((IF(ISNUMBER(C259),C259,DATEVALUE(LEFT(C259,10))+TIMEVALUE(MID(C259,12,5)))-IF(ISNUMBER(B259),B259,DATEVALUE(LEFT(B259,10))+TIMEVALUE(MID(B259,12,5))))*24,1),"")</f>
        <v/>
      </c>
    </row>
    <row r="260">
      <c r="D260" s="16">
        <f>IF(AND(B260&lt;&gt;"",C260&lt;&gt;""),ROUND((IF(ISNUMBER(C260),C260,DATEVALUE(LEFT(C260,10))+TIMEVALUE(MID(C260,12,5)))-IF(ISNUMBER(B260),B260,DATEVALUE(LEFT(B260,10))+TIMEVALUE(MID(B260,12,5))))*24,1),"")</f>
        <v/>
      </c>
    </row>
    <row r="261">
      <c r="D261" s="16">
        <f>IF(AND(B261&lt;&gt;"",C261&lt;&gt;""),ROUND((IF(ISNUMBER(C261),C261,DATEVALUE(LEFT(C261,10))+TIMEVALUE(MID(C261,12,5)))-IF(ISNUMBER(B261),B261,DATEVALUE(LEFT(B261,10))+TIMEVALUE(MID(B261,12,5))))*24,1),"")</f>
        <v/>
      </c>
    </row>
    <row r="262">
      <c r="D262" s="16">
        <f>IF(AND(B262&lt;&gt;"",C262&lt;&gt;""),ROUND((IF(ISNUMBER(C262),C262,DATEVALUE(LEFT(C262,10))+TIMEVALUE(MID(C262,12,5)))-IF(ISNUMBER(B262),B262,DATEVALUE(LEFT(B262,10))+TIMEVALUE(MID(B262,12,5))))*24,1),"")</f>
        <v/>
      </c>
    </row>
    <row r="263">
      <c r="D263" s="16">
        <f>IF(AND(B263&lt;&gt;"",C263&lt;&gt;""),ROUND((IF(ISNUMBER(C263),C263,DATEVALUE(LEFT(C263,10))+TIMEVALUE(MID(C263,12,5)))-IF(ISNUMBER(B263),B263,DATEVALUE(LEFT(B263,10))+TIMEVALUE(MID(B263,12,5))))*24,1),"")</f>
        <v/>
      </c>
    </row>
    <row r="264">
      <c r="D264" s="16">
        <f>IF(AND(B264&lt;&gt;"",C264&lt;&gt;""),ROUND((IF(ISNUMBER(C264),C264,DATEVALUE(LEFT(C264,10))+TIMEVALUE(MID(C264,12,5)))-IF(ISNUMBER(B264),B264,DATEVALUE(LEFT(B264,10))+TIMEVALUE(MID(B264,12,5))))*24,1),"")</f>
        <v/>
      </c>
    </row>
    <row r="265">
      <c r="D265" s="16">
        <f>IF(AND(B265&lt;&gt;"",C265&lt;&gt;""),ROUND((IF(ISNUMBER(C265),C265,DATEVALUE(LEFT(C265,10))+TIMEVALUE(MID(C265,12,5)))-IF(ISNUMBER(B265),B265,DATEVALUE(LEFT(B265,10))+TIMEVALUE(MID(B265,12,5))))*24,1),"")</f>
        <v/>
      </c>
    </row>
    <row r="266">
      <c r="D266" s="16">
        <f>IF(AND(B266&lt;&gt;"",C266&lt;&gt;""),ROUND((IF(ISNUMBER(C266),C266,DATEVALUE(LEFT(C266,10))+TIMEVALUE(MID(C266,12,5)))-IF(ISNUMBER(B266),B266,DATEVALUE(LEFT(B266,10))+TIMEVALUE(MID(B266,12,5))))*24,1),"")</f>
        <v/>
      </c>
    </row>
    <row r="267">
      <c r="D267" s="16">
        <f>IF(AND(B267&lt;&gt;"",C267&lt;&gt;""),ROUND((IF(ISNUMBER(C267),C267,DATEVALUE(LEFT(C267,10))+TIMEVALUE(MID(C267,12,5)))-IF(ISNUMBER(B267),B267,DATEVALUE(LEFT(B267,10))+TIMEVALUE(MID(B267,12,5))))*24,1),"")</f>
        <v/>
      </c>
    </row>
    <row r="268">
      <c r="D268" s="16">
        <f>IF(AND(B268&lt;&gt;"",C268&lt;&gt;""),ROUND((IF(ISNUMBER(C268),C268,DATEVALUE(LEFT(C268,10))+TIMEVALUE(MID(C268,12,5)))-IF(ISNUMBER(B268),B268,DATEVALUE(LEFT(B268,10))+TIMEVALUE(MID(B268,12,5))))*24,1),"")</f>
        <v/>
      </c>
    </row>
    <row r="269">
      <c r="D269" s="16">
        <f>IF(AND(B269&lt;&gt;"",C269&lt;&gt;""),ROUND((IF(ISNUMBER(C269),C269,DATEVALUE(LEFT(C269,10))+TIMEVALUE(MID(C269,12,5)))-IF(ISNUMBER(B269),B269,DATEVALUE(LEFT(B269,10))+TIMEVALUE(MID(B269,12,5))))*24,1),"")</f>
        <v/>
      </c>
    </row>
    <row r="270">
      <c r="D270" s="16">
        <f>IF(AND(B270&lt;&gt;"",C270&lt;&gt;""),ROUND((IF(ISNUMBER(C270),C270,DATEVALUE(LEFT(C270,10))+TIMEVALUE(MID(C270,12,5)))-IF(ISNUMBER(B270),B270,DATEVALUE(LEFT(B270,10))+TIMEVALUE(MID(B270,12,5))))*24,1),"")</f>
        <v/>
      </c>
    </row>
    <row r="271">
      <c r="D271" s="16">
        <f>IF(AND(B271&lt;&gt;"",C271&lt;&gt;""),ROUND((IF(ISNUMBER(C271),C271,DATEVALUE(LEFT(C271,10))+TIMEVALUE(MID(C271,12,5)))-IF(ISNUMBER(B271),B271,DATEVALUE(LEFT(B271,10))+TIMEVALUE(MID(B271,12,5))))*24,1),"")</f>
        <v/>
      </c>
    </row>
    <row r="272">
      <c r="D272" s="16">
        <f>IF(AND(B272&lt;&gt;"",C272&lt;&gt;""),ROUND((IF(ISNUMBER(C272),C272,DATEVALUE(LEFT(C272,10))+TIMEVALUE(MID(C272,12,5)))-IF(ISNUMBER(B272),B272,DATEVALUE(LEFT(B272,10))+TIMEVALUE(MID(B272,12,5))))*24,1),"")</f>
        <v/>
      </c>
    </row>
    <row r="273">
      <c r="D273" s="16">
        <f>IF(AND(B273&lt;&gt;"",C273&lt;&gt;""),ROUND((IF(ISNUMBER(C273),C273,DATEVALUE(LEFT(C273,10))+TIMEVALUE(MID(C273,12,5)))-IF(ISNUMBER(B273),B273,DATEVALUE(LEFT(B273,10))+TIMEVALUE(MID(B273,12,5))))*24,1),"")</f>
        <v/>
      </c>
    </row>
    <row r="274">
      <c r="D274" s="16">
        <f>IF(AND(B274&lt;&gt;"",C274&lt;&gt;""),ROUND((IF(ISNUMBER(C274),C274,DATEVALUE(LEFT(C274,10))+TIMEVALUE(MID(C274,12,5)))-IF(ISNUMBER(B274),B274,DATEVALUE(LEFT(B274,10))+TIMEVALUE(MID(B274,12,5))))*24,1),"")</f>
        <v/>
      </c>
    </row>
    <row r="275">
      <c r="D275" s="16">
        <f>IF(AND(B275&lt;&gt;"",C275&lt;&gt;""),ROUND((IF(ISNUMBER(C275),C275,DATEVALUE(LEFT(C275,10))+TIMEVALUE(MID(C275,12,5)))-IF(ISNUMBER(B275),B275,DATEVALUE(LEFT(B275,10))+TIMEVALUE(MID(B275,12,5))))*24,1),"")</f>
        <v/>
      </c>
    </row>
    <row r="276">
      <c r="D276" s="16">
        <f>IF(AND(B276&lt;&gt;"",C276&lt;&gt;""),ROUND((IF(ISNUMBER(C276),C276,DATEVALUE(LEFT(C276,10))+TIMEVALUE(MID(C276,12,5)))-IF(ISNUMBER(B276),B276,DATEVALUE(LEFT(B276,10))+TIMEVALUE(MID(B276,12,5))))*24,1),"")</f>
        <v/>
      </c>
    </row>
    <row r="277">
      <c r="D277" s="16">
        <f>IF(AND(B277&lt;&gt;"",C277&lt;&gt;""),ROUND((IF(ISNUMBER(C277),C277,DATEVALUE(LEFT(C277,10))+TIMEVALUE(MID(C277,12,5)))-IF(ISNUMBER(B277),B277,DATEVALUE(LEFT(B277,10))+TIMEVALUE(MID(B277,12,5))))*24,1),"")</f>
        <v/>
      </c>
    </row>
    <row r="278">
      <c r="D278" s="16">
        <f>IF(AND(B278&lt;&gt;"",C278&lt;&gt;""),ROUND((IF(ISNUMBER(C278),C278,DATEVALUE(LEFT(C278,10))+TIMEVALUE(MID(C278,12,5)))-IF(ISNUMBER(B278),B278,DATEVALUE(LEFT(B278,10))+TIMEVALUE(MID(B278,12,5))))*24,1),"")</f>
        <v/>
      </c>
    </row>
    <row r="279">
      <c r="D279" s="16">
        <f>IF(AND(B279&lt;&gt;"",C279&lt;&gt;""),ROUND((IF(ISNUMBER(C279),C279,DATEVALUE(LEFT(C279,10))+TIMEVALUE(MID(C279,12,5)))-IF(ISNUMBER(B279),B279,DATEVALUE(LEFT(B279,10))+TIMEVALUE(MID(B279,12,5))))*24,1),"")</f>
        <v/>
      </c>
    </row>
    <row r="280">
      <c r="D280" s="16">
        <f>IF(AND(B280&lt;&gt;"",C280&lt;&gt;""),ROUND((IF(ISNUMBER(C280),C280,DATEVALUE(LEFT(C280,10))+TIMEVALUE(MID(C280,12,5)))-IF(ISNUMBER(B280),B280,DATEVALUE(LEFT(B280,10))+TIMEVALUE(MID(B280,12,5))))*24,1),"")</f>
        <v/>
      </c>
    </row>
    <row r="281">
      <c r="D281" s="16">
        <f>IF(AND(B281&lt;&gt;"",C281&lt;&gt;""),ROUND((IF(ISNUMBER(C281),C281,DATEVALUE(LEFT(C281,10))+TIMEVALUE(MID(C281,12,5)))-IF(ISNUMBER(B281),B281,DATEVALUE(LEFT(B281,10))+TIMEVALUE(MID(B281,12,5))))*24,1),"")</f>
        <v/>
      </c>
    </row>
    <row r="282">
      <c r="D282" s="16">
        <f>IF(AND(B282&lt;&gt;"",C282&lt;&gt;""),ROUND((IF(ISNUMBER(C282),C282,DATEVALUE(LEFT(C282,10))+TIMEVALUE(MID(C282,12,5)))-IF(ISNUMBER(B282),B282,DATEVALUE(LEFT(B282,10))+TIMEVALUE(MID(B282,12,5))))*24,1),"")</f>
        <v/>
      </c>
    </row>
    <row r="283">
      <c r="D283" s="16">
        <f>IF(AND(B283&lt;&gt;"",C283&lt;&gt;""),ROUND((IF(ISNUMBER(C283),C283,DATEVALUE(LEFT(C283,10))+TIMEVALUE(MID(C283,12,5)))-IF(ISNUMBER(B283),B283,DATEVALUE(LEFT(B283,10))+TIMEVALUE(MID(B283,12,5))))*24,1),"")</f>
        <v/>
      </c>
    </row>
    <row r="284">
      <c r="D284" s="16">
        <f>IF(AND(B284&lt;&gt;"",C284&lt;&gt;""),ROUND((IF(ISNUMBER(C284),C284,DATEVALUE(LEFT(C284,10))+TIMEVALUE(MID(C284,12,5)))-IF(ISNUMBER(B284),B284,DATEVALUE(LEFT(B284,10))+TIMEVALUE(MID(B284,12,5))))*24,1),"")</f>
        <v/>
      </c>
    </row>
    <row r="285">
      <c r="D285" s="16">
        <f>IF(AND(B285&lt;&gt;"",C285&lt;&gt;""),ROUND((IF(ISNUMBER(C285),C285,DATEVALUE(LEFT(C285,10))+TIMEVALUE(MID(C285,12,5)))-IF(ISNUMBER(B285),B285,DATEVALUE(LEFT(B285,10))+TIMEVALUE(MID(B285,12,5))))*24,1),"")</f>
        <v/>
      </c>
    </row>
    <row r="286">
      <c r="D286" s="16">
        <f>IF(AND(B286&lt;&gt;"",C286&lt;&gt;""),ROUND((IF(ISNUMBER(C286),C286,DATEVALUE(LEFT(C286,10))+TIMEVALUE(MID(C286,12,5)))-IF(ISNUMBER(B286),B286,DATEVALUE(LEFT(B286,10))+TIMEVALUE(MID(B286,12,5))))*24,1),"")</f>
        <v/>
      </c>
    </row>
    <row r="287">
      <c r="D287" s="16">
        <f>IF(AND(B287&lt;&gt;"",C287&lt;&gt;""),ROUND((IF(ISNUMBER(C287),C287,DATEVALUE(LEFT(C287,10))+TIMEVALUE(MID(C287,12,5)))-IF(ISNUMBER(B287),B287,DATEVALUE(LEFT(B287,10))+TIMEVALUE(MID(B287,12,5))))*24,1),"")</f>
        <v/>
      </c>
    </row>
    <row r="288">
      <c r="D288" s="16">
        <f>IF(AND(B288&lt;&gt;"",C288&lt;&gt;""),ROUND((IF(ISNUMBER(C288),C288,DATEVALUE(LEFT(C288,10))+TIMEVALUE(MID(C288,12,5)))-IF(ISNUMBER(B288),B288,DATEVALUE(LEFT(B288,10))+TIMEVALUE(MID(B288,12,5))))*24,1),"")</f>
        <v/>
      </c>
    </row>
    <row r="289">
      <c r="D289" s="16">
        <f>IF(AND(B289&lt;&gt;"",C289&lt;&gt;""),ROUND((IF(ISNUMBER(C289),C289,DATEVALUE(LEFT(C289,10))+TIMEVALUE(MID(C289,12,5)))-IF(ISNUMBER(B289),B289,DATEVALUE(LEFT(B289,10))+TIMEVALUE(MID(B289,12,5))))*24,1),"")</f>
        <v/>
      </c>
    </row>
    <row r="290">
      <c r="D290" s="16">
        <f>IF(AND(B290&lt;&gt;"",C290&lt;&gt;""),ROUND((IF(ISNUMBER(C290),C290,DATEVALUE(LEFT(C290,10))+TIMEVALUE(MID(C290,12,5)))-IF(ISNUMBER(B290),B290,DATEVALUE(LEFT(B290,10))+TIMEVALUE(MID(B290,12,5))))*24,1),"")</f>
        <v/>
      </c>
    </row>
    <row r="291">
      <c r="D291" s="16">
        <f>IF(AND(B291&lt;&gt;"",C291&lt;&gt;""),ROUND((IF(ISNUMBER(C291),C291,DATEVALUE(LEFT(C291,10))+TIMEVALUE(MID(C291,12,5)))-IF(ISNUMBER(B291),B291,DATEVALUE(LEFT(B291,10))+TIMEVALUE(MID(B291,12,5))))*24,1),"")</f>
        <v/>
      </c>
    </row>
    <row r="292">
      <c r="D292" s="16">
        <f>IF(AND(B292&lt;&gt;"",C292&lt;&gt;""),ROUND((IF(ISNUMBER(C292),C292,DATEVALUE(LEFT(C292,10))+TIMEVALUE(MID(C292,12,5)))-IF(ISNUMBER(B292),B292,DATEVALUE(LEFT(B292,10))+TIMEVALUE(MID(B292,12,5))))*24,1),"")</f>
        <v/>
      </c>
    </row>
    <row r="293">
      <c r="D293" s="16">
        <f>IF(AND(B293&lt;&gt;"",C293&lt;&gt;""),ROUND((IF(ISNUMBER(C293),C293,DATEVALUE(LEFT(C293,10))+TIMEVALUE(MID(C293,12,5)))-IF(ISNUMBER(B293),B293,DATEVALUE(LEFT(B293,10))+TIMEVALUE(MID(B293,12,5))))*24,1),"")</f>
        <v/>
      </c>
    </row>
    <row r="294">
      <c r="D294" s="16">
        <f>IF(AND(B294&lt;&gt;"",C294&lt;&gt;""),ROUND((IF(ISNUMBER(C294),C294,DATEVALUE(LEFT(C294,10))+TIMEVALUE(MID(C294,12,5)))-IF(ISNUMBER(B294),B294,DATEVALUE(LEFT(B294,10))+TIMEVALUE(MID(B294,12,5))))*24,1),"")</f>
        <v/>
      </c>
    </row>
    <row r="295">
      <c r="D295" s="16">
        <f>IF(AND(B295&lt;&gt;"",C295&lt;&gt;""),ROUND((IF(ISNUMBER(C295),C295,DATEVALUE(LEFT(C295,10))+TIMEVALUE(MID(C295,12,5)))-IF(ISNUMBER(B295),B295,DATEVALUE(LEFT(B295,10))+TIMEVALUE(MID(B295,12,5))))*24,1),"")</f>
        <v/>
      </c>
    </row>
    <row r="296">
      <c r="D296" s="16">
        <f>IF(AND(B296&lt;&gt;"",C296&lt;&gt;""),ROUND((IF(ISNUMBER(C296),C296,DATEVALUE(LEFT(C296,10))+TIMEVALUE(MID(C296,12,5)))-IF(ISNUMBER(B296),B296,DATEVALUE(LEFT(B296,10))+TIMEVALUE(MID(B296,12,5))))*24,1),"")</f>
        <v/>
      </c>
    </row>
    <row r="297">
      <c r="D297" s="16">
        <f>IF(AND(B297&lt;&gt;"",C297&lt;&gt;""),ROUND((IF(ISNUMBER(C297),C297,DATEVALUE(LEFT(C297,10))+TIMEVALUE(MID(C297,12,5)))-IF(ISNUMBER(B297),B297,DATEVALUE(LEFT(B297,10))+TIMEVALUE(MID(B297,12,5))))*24,1),"")</f>
        <v/>
      </c>
    </row>
    <row r="298">
      <c r="D298" s="16">
        <f>IF(AND(B298&lt;&gt;"",C298&lt;&gt;""),ROUND((IF(ISNUMBER(C298),C298,DATEVALUE(LEFT(C298,10))+TIMEVALUE(MID(C298,12,5)))-IF(ISNUMBER(B298),B298,DATEVALUE(LEFT(B298,10))+TIMEVALUE(MID(B298,12,5))))*24,1),"")</f>
        <v/>
      </c>
    </row>
    <row r="299">
      <c r="D299" s="16">
        <f>IF(AND(B299&lt;&gt;"",C299&lt;&gt;""),ROUND((IF(ISNUMBER(C299),C299,DATEVALUE(LEFT(C299,10))+TIMEVALUE(MID(C299,12,5)))-IF(ISNUMBER(B299),B299,DATEVALUE(LEFT(B299,10))+TIMEVALUE(MID(B299,12,5))))*24,1),"")</f>
        <v/>
      </c>
    </row>
    <row r="300">
      <c r="D300" s="16">
        <f>IF(AND(B300&lt;&gt;"",C300&lt;&gt;""),ROUND((IF(ISNUMBER(C300),C300,DATEVALUE(LEFT(C300,10))+TIMEVALUE(MID(C300,12,5)))-IF(ISNUMBER(B300),B300,DATEVALUE(LEFT(B300,10))+TIMEVALUE(MID(B300,12,5))))*24,1),"")</f>
        <v/>
      </c>
    </row>
    <row r="301">
      <c r="D301" s="16">
        <f>IF(AND(B301&lt;&gt;"",C301&lt;&gt;""),ROUND((IF(ISNUMBER(C301),C301,DATEVALUE(LEFT(C301,10))+TIMEVALUE(MID(C301,12,5)))-IF(ISNUMBER(B301),B301,DATEVALUE(LEFT(B301,10))+TIMEVALUE(MID(B301,12,5))))*24,1),"")</f>
        <v/>
      </c>
    </row>
    <row r="302">
      <c r="D302" s="16">
        <f>IF(AND(B302&lt;&gt;"",C302&lt;&gt;""),ROUND((IF(ISNUMBER(C302),C302,DATEVALUE(LEFT(C302,10))+TIMEVALUE(MID(C302,12,5)))-IF(ISNUMBER(B302),B302,DATEVALUE(LEFT(B302,10))+TIMEVALUE(MID(B302,12,5))))*24,1),"")</f>
        <v/>
      </c>
    </row>
    <row r="303">
      <c r="D303" s="16">
        <f>IF(AND(B303&lt;&gt;"",C303&lt;&gt;""),ROUND((IF(ISNUMBER(C303),C303,DATEVALUE(LEFT(C303,10))+TIMEVALUE(MID(C303,12,5)))-IF(ISNUMBER(B303),B303,DATEVALUE(LEFT(B303,10))+TIMEVALUE(MID(B303,12,5))))*24,1),"")</f>
        <v/>
      </c>
    </row>
    <row r="304">
      <c r="D304" s="16">
        <f>IF(AND(B304&lt;&gt;"",C304&lt;&gt;""),ROUND((IF(ISNUMBER(C304),C304,DATEVALUE(LEFT(C304,10))+TIMEVALUE(MID(C304,12,5)))-IF(ISNUMBER(B304),B304,DATEVALUE(LEFT(B304,10))+TIMEVALUE(MID(B304,12,5))))*24,1),"")</f>
        <v/>
      </c>
    </row>
    <row r="305">
      <c r="D305" s="16">
        <f>IF(AND(B305&lt;&gt;"",C305&lt;&gt;""),ROUND((IF(ISNUMBER(C305),C305,DATEVALUE(LEFT(C305,10))+TIMEVALUE(MID(C305,12,5)))-IF(ISNUMBER(B305),B305,DATEVALUE(LEFT(B305,10))+TIMEVALUE(MID(B305,12,5))))*24,1),"")</f>
        <v/>
      </c>
    </row>
    <row r="306">
      <c r="D306" s="16">
        <f>IF(AND(B306&lt;&gt;"",C306&lt;&gt;""),ROUND((IF(ISNUMBER(C306),C306,DATEVALUE(LEFT(C306,10))+TIMEVALUE(MID(C306,12,5)))-IF(ISNUMBER(B306),B306,DATEVALUE(LEFT(B306,10))+TIMEVALUE(MID(B306,12,5))))*24,1),"")</f>
        <v/>
      </c>
    </row>
    <row r="307">
      <c r="D307" s="16">
        <f>IF(AND(B307&lt;&gt;"",C307&lt;&gt;""),ROUND((IF(ISNUMBER(C307),C307,DATEVALUE(LEFT(C307,10))+TIMEVALUE(MID(C307,12,5)))-IF(ISNUMBER(B307),B307,DATEVALUE(LEFT(B307,10))+TIMEVALUE(MID(B307,12,5))))*24,1),"")</f>
        <v/>
      </c>
    </row>
    <row r="308">
      <c r="D308" s="16">
        <f>IF(AND(B308&lt;&gt;"",C308&lt;&gt;""),ROUND((IF(ISNUMBER(C308),C308,DATEVALUE(LEFT(C308,10))+TIMEVALUE(MID(C308,12,5)))-IF(ISNUMBER(B308),B308,DATEVALUE(LEFT(B308,10))+TIMEVALUE(MID(B308,12,5))))*24,1),"")</f>
        <v/>
      </c>
    </row>
    <row r="309">
      <c r="D309" s="16">
        <f>IF(AND(B309&lt;&gt;"",C309&lt;&gt;""),ROUND((IF(ISNUMBER(C309),C309,DATEVALUE(LEFT(C309,10))+TIMEVALUE(MID(C309,12,5)))-IF(ISNUMBER(B309),B309,DATEVALUE(LEFT(B309,10))+TIMEVALUE(MID(B309,12,5))))*24,1),"")</f>
        <v/>
      </c>
    </row>
    <row r="310">
      <c r="D310" s="16">
        <f>IF(AND(B310&lt;&gt;"",C310&lt;&gt;""),ROUND((IF(ISNUMBER(C310),C310,DATEVALUE(LEFT(C310,10))+TIMEVALUE(MID(C310,12,5)))-IF(ISNUMBER(B310),B310,DATEVALUE(LEFT(B310,10))+TIMEVALUE(MID(B310,12,5))))*24,1),"")</f>
        <v/>
      </c>
    </row>
    <row r="311">
      <c r="D311" s="16">
        <f>IF(AND(B311&lt;&gt;"",C311&lt;&gt;""),ROUND((IF(ISNUMBER(C311),C311,DATEVALUE(LEFT(C311,10))+TIMEVALUE(MID(C311,12,5)))-IF(ISNUMBER(B311),B311,DATEVALUE(LEFT(B311,10))+TIMEVALUE(MID(B311,12,5))))*24,1),"")</f>
        <v/>
      </c>
    </row>
    <row r="312">
      <c r="D312" s="16">
        <f>IF(AND(B312&lt;&gt;"",C312&lt;&gt;""),ROUND((IF(ISNUMBER(C312),C312,DATEVALUE(LEFT(C312,10))+TIMEVALUE(MID(C312,12,5)))-IF(ISNUMBER(B312),B312,DATEVALUE(LEFT(B312,10))+TIMEVALUE(MID(B312,12,5))))*24,1),"")</f>
        <v/>
      </c>
    </row>
    <row r="313">
      <c r="D313" s="16">
        <f>IF(AND(B313&lt;&gt;"",C313&lt;&gt;""),ROUND((IF(ISNUMBER(C313),C313,DATEVALUE(LEFT(C313,10))+TIMEVALUE(MID(C313,12,5)))-IF(ISNUMBER(B313),B313,DATEVALUE(LEFT(B313,10))+TIMEVALUE(MID(B313,12,5))))*24,1),"")</f>
        <v/>
      </c>
    </row>
    <row r="314">
      <c r="D314" s="16">
        <f>IF(AND(B314&lt;&gt;"",C314&lt;&gt;""),ROUND((IF(ISNUMBER(C314),C314,DATEVALUE(LEFT(C314,10))+TIMEVALUE(MID(C314,12,5)))-IF(ISNUMBER(B314),B314,DATEVALUE(LEFT(B314,10))+TIMEVALUE(MID(B314,12,5))))*24,1),"")</f>
        <v/>
      </c>
    </row>
    <row r="315">
      <c r="D315" s="16">
        <f>IF(AND(B315&lt;&gt;"",C315&lt;&gt;""),ROUND((IF(ISNUMBER(C315),C315,DATEVALUE(LEFT(C315,10))+TIMEVALUE(MID(C315,12,5)))-IF(ISNUMBER(B315),B315,DATEVALUE(LEFT(B315,10))+TIMEVALUE(MID(B315,12,5))))*24,1),"")</f>
        <v/>
      </c>
    </row>
    <row r="316">
      <c r="D316" s="16">
        <f>IF(AND(B316&lt;&gt;"",C316&lt;&gt;""),ROUND((IF(ISNUMBER(C316),C316,DATEVALUE(LEFT(C316,10))+TIMEVALUE(MID(C316,12,5)))-IF(ISNUMBER(B316),B316,DATEVALUE(LEFT(B316,10))+TIMEVALUE(MID(B316,12,5))))*24,1),"")</f>
        <v/>
      </c>
    </row>
    <row r="317">
      <c r="D317" s="16">
        <f>IF(AND(B317&lt;&gt;"",C317&lt;&gt;""),ROUND((IF(ISNUMBER(C317),C317,DATEVALUE(LEFT(C317,10))+TIMEVALUE(MID(C317,12,5)))-IF(ISNUMBER(B317),B317,DATEVALUE(LEFT(B317,10))+TIMEVALUE(MID(B317,12,5))))*24,1),"")</f>
        <v/>
      </c>
    </row>
    <row r="318">
      <c r="D318" s="16">
        <f>IF(AND(B318&lt;&gt;"",C318&lt;&gt;""),ROUND((IF(ISNUMBER(C318),C318,DATEVALUE(LEFT(C318,10))+TIMEVALUE(MID(C318,12,5)))-IF(ISNUMBER(B318),B318,DATEVALUE(LEFT(B318,10))+TIMEVALUE(MID(B318,12,5))))*24,1),"")</f>
        <v/>
      </c>
    </row>
    <row r="319">
      <c r="D319" s="16">
        <f>IF(AND(B319&lt;&gt;"",C319&lt;&gt;""),ROUND((IF(ISNUMBER(C319),C319,DATEVALUE(LEFT(C319,10))+TIMEVALUE(MID(C319,12,5)))-IF(ISNUMBER(B319),B319,DATEVALUE(LEFT(B319,10))+TIMEVALUE(MID(B319,12,5))))*24,1),"")</f>
        <v/>
      </c>
    </row>
    <row r="320">
      <c r="D320" s="16">
        <f>IF(AND(B320&lt;&gt;"",C320&lt;&gt;""),ROUND((IF(ISNUMBER(C320),C320,DATEVALUE(LEFT(C320,10))+TIMEVALUE(MID(C320,12,5)))-IF(ISNUMBER(B320),B320,DATEVALUE(LEFT(B320,10))+TIMEVALUE(MID(B320,12,5))))*24,1),"")</f>
        <v/>
      </c>
    </row>
    <row r="321">
      <c r="D321" s="16">
        <f>IF(AND(B321&lt;&gt;"",C321&lt;&gt;""),ROUND((IF(ISNUMBER(C321),C321,DATEVALUE(LEFT(C321,10))+TIMEVALUE(MID(C321,12,5)))-IF(ISNUMBER(B321),B321,DATEVALUE(LEFT(B321,10))+TIMEVALUE(MID(B321,12,5))))*24,1),"")</f>
        <v/>
      </c>
    </row>
    <row r="322">
      <c r="D322" s="16">
        <f>IF(AND(B322&lt;&gt;"",C322&lt;&gt;""),ROUND((IF(ISNUMBER(C322),C322,DATEVALUE(LEFT(C322,10))+TIMEVALUE(MID(C322,12,5)))-IF(ISNUMBER(B322),B322,DATEVALUE(LEFT(B322,10))+TIMEVALUE(MID(B322,12,5))))*24,1),"")</f>
        <v/>
      </c>
    </row>
    <row r="323">
      <c r="D323" s="16">
        <f>IF(AND(B323&lt;&gt;"",C323&lt;&gt;""),ROUND((IF(ISNUMBER(C323),C323,DATEVALUE(LEFT(C323,10))+TIMEVALUE(MID(C323,12,5)))-IF(ISNUMBER(B323),B323,DATEVALUE(LEFT(B323,10))+TIMEVALUE(MID(B323,12,5))))*24,1),"")</f>
        <v/>
      </c>
    </row>
    <row r="324">
      <c r="D324" s="16">
        <f>IF(AND(B324&lt;&gt;"",C324&lt;&gt;""),ROUND((IF(ISNUMBER(C324),C324,DATEVALUE(LEFT(C324,10))+TIMEVALUE(MID(C324,12,5)))-IF(ISNUMBER(B324),B324,DATEVALUE(LEFT(B324,10))+TIMEVALUE(MID(B324,12,5))))*24,1),"")</f>
        <v/>
      </c>
    </row>
    <row r="325">
      <c r="D325" s="16">
        <f>IF(AND(B325&lt;&gt;"",C325&lt;&gt;""),ROUND((IF(ISNUMBER(C325),C325,DATEVALUE(LEFT(C325,10))+TIMEVALUE(MID(C325,12,5)))-IF(ISNUMBER(B325),B325,DATEVALUE(LEFT(B325,10))+TIMEVALUE(MID(B325,12,5))))*24,1),"")</f>
        <v/>
      </c>
    </row>
    <row r="326">
      <c r="D326" s="16">
        <f>IF(AND(B326&lt;&gt;"",C326&lt;&gt;""),ROUND((IF(ISNUMBER(C326),C326,DATEVALUE(LEFT(C326,10))+TIMEVALUE(MID(C326,12,5)))-IF(ISNUMBER(B326),B326,DATEVALUE(LEFT(B326,10))+TIMEVALUE(MID(B326,12,5))))*24,1),"")</f>
        <v/>
      </c>
    </row>
    <row r="327">
      <c r="D327" s="16">
        <f>IF(AND(B327&lt;&gt;"",C327&lt;&gt;""),ROUND((IF(ISNUMBER(C327),C327,DATEVALUE(LEFT(C327,10))+TIMEVALUE(MID(C327,12,5)))-IF(ISNUMBER(B327),B327,DATEVALUE(LEFT(B327,10))+TIMEVALUE(MID(B327,12,5))))*24,1),"")</f>
        <v/>
      </c>
    </row>
    <row r="328">
      <c r="D328" s="16">
        <f>IF(AND(B328&lt;&gt;"",C328&lt;&gt;""),ROUND((IF(ISNUMBER(C328),C328,DATEVALUE(LEFT(C328,10))+TIMEVALUE(MID(C328,12,5)))-IF(ISNUMBER(B328),B328,DATEVALUE(LEFT(B328,10))+TIMEVALUE(MID(B328,12,5))))*24,1),"")</f>
        <v/>
      </c>
    </row>
    <row r="329">
      <c r="D329" s="16">
        <f>IF(AND(B329&lt;&gt;"",C329&lt;&gt;""),ROUND((IF(ISNUMBER(C329),C329,DATEVALUE(LEFT(C329,10))+TIMEVALUE(MID(C329,12,5)))-IF(ISNUMBER(B329),B329,DATEVALUE(LEFT(B329,10))+TIMEVALUE(MID(B329,12,5))))*24,1),"")</f>
        <v/>
      </c>
    </row>
    <row r="330">
      <c r="D330" s="16">
        <f>IF(AND(B330&lt;&gt;"",C330&lt;&gt;""),ROUND((IF(ISNUMBER(C330),C330,DATEVALUE(LEFT(C330,10))+TIMEVALUE(MID(C330,12,5)))-IF(ISNUMBER(B330),B330,DATEVALUE(LEFT(B330,10))+TIMEVALUE(MID(B330,12,5))))*24,1),"")</f>
        <v/>
      </c>
    </row>
    <row r="331">
      <c r="D331" s="16">
        <f>IF(AND(B331&lt;&gt;"",C331&lt;&gt;""),ROUND((IF(ISNUMBER(C331),C331,DATEVALUE(LEFT(C331,10))+TIMEVALUE(MID(C331,12,5)))-IF(ISNUMBER(B331),B331,DATEVALUE(LEFT(B331,10))+TIMEVALUE(MID(B331,12,5))))*24,1),"")</f>
        <v/>
      </c>
    </row>
    <row r="332">
      <c r="D332" s="16">
        <f>IF(AND(B332&lt;&gt;"",C332&lt;&gt;""),ROUND((IF(ISNUMBER(C332),C332,DATEVALUE(LEFT(C332,10))+TIMEVALUE(MID(C332,12,5)))-IF(ISNUMBER(B332),B332,DATEVALUE(LEFT(B332,10))+TIMEVALUE(MID(B332,12,5))))*24,1),"")</f>
        <v/>
      </c>
    </row>
    <row r="333">
      <c r="D333" s="16">
        <f>IF(AND(B333&lt;&gt;"",C333&lt;&gt;""),ROUND((IF(ISNUMBER(C333),C333,DATEVALUE(LEFT(C333,10))+TIMEVALUE(MID(C333,12,5)))-IF(ISNUMBER(B333),B333,DATEVALUE(LEFT(B333,10))+TIMEVALUE(MID(B333,12,5))))*24,1),"")</f>
        <v/>
      </c>
    </row>
    <row r="334">
      <c r="D334" s="16">
        <f>IF(AND(B334&lt;&gt;"",C334&lt;&gt;""),ROUND((IF(ISNUMBER(C334),C334,DATEVALUE(LEFT(C334,10))+TIMEVALUE(MID(C334,12,5)))-IF(ISNUMBER(B334),B334,DATEVALUE(LEFT(B334,10))+TIMEVALUE(MID(B334,12,5))))*24,1),"")</f>
        <v/>
      </c>
    </row>
    <row r="335">
      <c r="D335" s="16">
        <f>IF(AND(B335&lt;&gt;"",C335&lt;&gt;""),ROUND((IF(ISNUMBER(C335),C335,DATEVALUE(LEFT(C335,10))+TIMEVALUE(MID(C335,12,5)))-IF(ISNUMBER(B335),B335,DATEVALUE(LEFT(B335,10))+TIMEVALUE(MID(B335,12,5))))*24,1),"")</f>
        <v/>
      </c>
    </row>
    <row r="336">
      <c r="D336" s="16">
        <f>IF(AND(B336&lt;&gt;"",C336&lt;&gt;""),ROUND((IF(ISNUMBER(C336),C336,DATEVALUE(LEFT(C336,10))+TIMEVALUE(MID(C336,12,5)))-IF(ISNUMBER(B336),B336,DATEVALUE(LEFT(B336,10))+TIMEVALUE(MID(B336,12,5))))*24,1),"")</f>
        <v/>
      </c>
    </row>
    <row r="337">
      <c r="D337" s="16">
        <f>IF(AND(B337&lt;&gt;"",C337&lt;&gt;""),ROUND((IF(ISNUMBER(C337),C337,DATEVALUE(LEFT(C337,10))+TIMEVALUE(MID(C337,12,5)))-IF(ISNUMBER(B337),B337,DATEVALUE(LEFT(B337,10))+TIMEVALUE(MID(B337,12,5))))*24,1),"")</f>
        <v/>
      </c>
    </row>
    <row r="338">
      <c r="D338" s="16">
        <f>IF(AND(B338&lt;&gt;"",C338&lt;&gt;""),ROUND((IF(ISNUMBER(C338),C338,DATEVALUE(LEFT(C338,10))+TIMEVALUE(MID(C338,12,5)))-IF(ISNUMBER(B338),B338,DATEVALUE(LEFT(B338,10))+TIMEVALUE(MID(B338,12,5))))*24,1),"")</f>
        <v/>
      </c>
    </row>
    <row r="339">
      <c r="D339" s="16">
        <f>IF(AND(B339&lt;&gt;"",C339&lt;&gt;""),ROUND((IF(ISNUMBER(C339),C339,DATEVALUE(LEFT(C339,10))+TIMEVALUE(MID(C339,12,5)))-IF(ISNUMBER(B339),B339,DATEVALUE(LEFT(B339,10))+TIMEVALUE(MID(B339,12,5))))*24,1),"")</f>
        <v/>
      </c>
    </row>
    <row r="340">
      <c r="D340" s="16">
        <f>IF(AND(B340&lt;&gt;"",C340&lt;&gt;""),ROUND((IF(ISNUMBER(C340),C340,DATEVALUE(LEFT(C340,10))+TIMEVALUE(MID(C340,12,5)))-IF(ISNUMBER(B340),B340,DATEVALUE(LEFT(B340,10))+TIMEVALUE(MID(B340,12,5))))*24,1),"")</f>
        <v/>
      </c>
    </row>
    <row r="341">
      <c r="D341" s="16">
        <f>IF(AND(B341&lt;&gt;"",C341&lt;&gt;""),ROUND((IF(ISNUMBER(C341),C341,DATEVALUE(LEFT(C341,10))+TIMEVALUE(MID(C341,12,5)))-IF(ISNUMBER(B341),B341,DATEVALUE(LEFT(B341,10))+TIMEVALUE(MID(B341,12,5))))*24,1),"")</f>
        <v/>
      </c>
    </row>
    <row r="342">
      <c r="D342" s="16">
        <f>IF(AND(B342&lt;&gt;"",C342&lt;&gt;""),ROUND((IF(ISNUMBER(C342),C342,DATEVALUE(LEFT(C342,10))+TIMEVALUE(MID(C342,12,5)))-IF(ISNUMBER(B342),B342,DATEVALUE(LEFT(B342,10))+TIMEVALUE(MID(B342,12,5))))*24,1),"")</f>
        <v/>
      </c>
    </row>
    <row r="343">
      <c r="D343" s="16">
        <f>IF(AND(B343&lt;&gt;"",C343&lt;&gt;""),ROUND((IF(ISNUMBER(C343),C343,DATEVALUE(LEFT(C343,10))+TIMEVALUE(MID(C343,12,5)))-IF(ISNUMBER(B343),B343,DATEVALUE(LEFT(B343,10))+TIMEVALUE(MID(B343,12,5))))*24,1),"")</f>
        <v/>
      </c>
    </row>
    <row r="344">
      <c r="D344" s="16">
        <f>IF(AND(B344&lt;&gt;"",C344&lt;&gt;""),ROUND((IF(ISNUMBER(C344),C344,DATEVALUE(LEFT(C344,10))+TIMEVALUE(MID(C344,12,5)))-IF(ISNUMBER(B344),B344,DATEVALUE(LEFT(B344,10))+TIMEVALUE(MID(B344,12,5))))*24,1),"")</f>
        <v/>
      </c>
    </row>
    <row r="345">
      <c r="D345" s="16">
        <f>IF(AND(B345&lt;&gt;"",C345&lt;&gt;""),ROUND((IF(ISNUMBER(C345),C345,DATEVALUE(LEFT(C345,10))+TIMEVALUE(MID(C345,12,5)))-IF(ISNUMBER(B345),B345,DATEVALUE(LEFT(B345,10))+TIMEVALUE(MID(B345,12,5))))*24,1),"")</f>
        <v/>
      </c>
    </row>
    <row r="346">
      <c r="D346" s="16">
        <f>IF(AND(B346&lt;&gt;"",C346&lt;&gt;""),ROUND((IF(ISNUMBER(C346),C346,DATEVALUE(LEFT(C346,10))+TIMEVALUE(MID(C346,12,5)))-IF(ISNUMBER(B346),B346,DATEVALUE(LEFT(B346,10))+TIMEVALUE(MID(B346,12,5))))*24,1),"")</f>
        <v/>
      </c>
    </row>
    <row r="347">
      <c r="D347" s="16">
        <f>IF(AND(B347&lt;&gt;"",C347&lt;&gt;""),ROUND((IF(ISNUMBER(C347),C347,DATEVALUE(LEFT(C347,10))+TIMEVALUE(MID(C347,12,5)))-IF(ISNUMBER(B347),B347,DATEVALUE(LEFT(B347,10))+TIMEVALUE(MID(B347,12,5))))*24,1),"")</f>
        <v/>
      </c>
    </row>
    <row r="348">
      <c r="D348" s="16">
        <f>IF(AND(B348&lt;&gt;"",C348&lt;&gt;""),ROUND((IF(ISNUMBER(C348),C348,DATEVALUE(LEFT(C348,10))+TIMEVALUE(MID(C348,12,5)))-IF(ISNUMBER(B348),B348,DATEVALUE(LEFT(B348,10))+TIMEVALUE(MID(B348,12,5))))*24,1),"")</f>
        <v/>
      </c>
    </row>
    <row r="349">
      <c r="D349" s="16">
        <f>IF(AND(B349&lt;&gt;"",C349&lt;&gt;""),ROUND((IF(ISNUMBER(C349),C349,DATEVALUE(LEFT(C349,10))+TIMEVALUE(MID(C349,12,5)))-IF(ISNUMBER(B349),B349,DATEVALUE(LEFT(B349,10))+TIMEVALUE(MID(B349,12,5))))*24,1),"")</f>
        <v/>
      </c>
    </row>
    <row r="350">
      <c r="D350" s="16">
        <f>IF(AND(B350&lt;&gt;"",C350&lt;&gt;""),ROUND((IF(ISNUMBER(C350),C350,DATEVALUE(LEFT(C350,10))+TIMEVALUE(MID(C350,12,5)))-IF(ISNUMBER(B350),B350,DATEVALUE(LEFT(B350,10))+TIMEVALUE(MID(B350,12,5))))*24,1),"")</f>
        <v/>
      </c>
    </row>
    <row r="351">
      <c r="D351" s="16">
        <f>IF(AND(B351&lt;&gt;"",C351&lt;&gt;""),ROUND((IF(ISNUMBER(C351),C351,DATEVALUE(LEFT(C351,10))+TIMEVALUE(MID(C351,12,5)))-IF(ISNUMBER(B351),B351,DATEVALUE(LEFT(B351,10))+TIMEVALUE(MID(B351,12,5))))*24,1),"")</f>
        <v/>
      </c>
    </row>
    <row r="352">
      <c r="D352" s="16">
        <f>IF(AND(B352&lt;&gt;"",C352&lt;&gt;""),ROUND((IF(ISNUMBER(C352),C352,DATEVALUE(LEFT(C352,10))+TIMEVALUE(MID(C352,12,5)))-IF(ISNUMBER(B352),B352,DATEVALUE(LEFT(B352,10))+TIMEVALUE(MID(B352,12,5))))*24,1),"")</f>
        <v/>
      </c>
    </row>
    <row r="353">
      <c r="D353" s="16">
        <f>IF(AND(B353&lt;&gt;"",C353&lt;&gt;""),ROUND((IF(ISNUMBER(C353),C353,DATEVALUE(LEFT(C353,10))+TIMEVALUE(MID(C353,12,5)))-IF(ISNUMBER(B353),B353,DATEVALUE(LEFT(B353,10))+TIMEVALUE(MID(B353,12,5))))*24,1),"")</f>
        <v/>
      </c>
    </row>
    <row r="354">
      <c r="D354" s="16">
        <f>IF(AND(B354&lt;&gt;"",C354&lt;&gt;""),ROUND((IF(ISNUMBER(C354),C354,DATEVALUE(LEFT(C354,10))+TIMEVALUE(MID(C354,12,5)))-IF(ISNUMBER(B354),B354,DATEVALUE(LEFT(B354,10))+TIMEVALUE(MID(B354,12,5))))*24,1),"")</f>
        <v/>
      </c>
    </row>
    <row r="355">
      <c r="D355" s="16">
        <f>IF(AND(B355&lt;&gt;"",C355&lt;&gt;""),ROUND((IF(ISNUMBER(C355),C355,DATEVALUE(LEFT(C355,10))+TIMEVALUE(MID(C355,12,5)))-IF(ISNUMBER(B355),B355,DATEVALUE(LEFT(B355,10))+TIMEVALUE(MID(B355,12,5))))*24,1),"")</f>
        <v/>
      </c>
    </row>
    <row r="356">
      <c r="D356" s="16">
        <f>IF(AND(B356&lt;&gt;"",C356&lt;&gt;""),ROUND((IF(ISNUMBER(C356),C356,DATEVALUE(LEFT(C356,10))+TIMEVALUE(MID(C356,12,5)))-IF(ISNUMBER(B356),B356,DATEVALUE(LEFT(B356,10))+TIMEVALUE(MID(B356,12,5))))*24,1),"")</f>
        <v/>
      </c>
    </row>
    <row r="357">
      <c r="D357" s="16">
        <f>IF(AND(B357&lt;&gt;"",C357&lt;&gt;""),ROUND((IF(ISNUMBER(C357),C357,DATEVALUE(LEFT(C357,10))+TIMEVALUE(MID(C357,12,5)))-IF(ISNUMBER(B357),B357,DATEVALUE(LEFT(B357,10))+TIMEVALUE(MID(B357,12,5))))*24,1),"")</f>
        <v/>
      </c>
    </row>
    <row r="358">
      <c r="D358" s="16">
        <f>IF(AND(B358&lt;&gt;"",C358&lt;&gt;""),ROUND((IF(ISNUMBER(C358),C358,DATEVALUE(LEFT(C358,10))+TIMEVALUE(MID(C358,12,5)))-IF(ISNUMBER(B358),B358,DATEVALUE(LEFT(B358,10))+TIMEVALUE(MID(B358,12,5))))*24,1),"")</f>
        <v/>
      </c>
    </row>
    <row r="359">
      <c r="D359" s="16">
        <f>IF(AND(B359&lt;&gt;"",C359&lt;&gt;""),ROUND((IF(ISNUMBER(C359),C359,DATEVALUE(LEFT(C359,10))+TIMEVALUE(MID(C359,12,5)))-IF(ISNUMBER(B359),B359,DATEVALUE(LEFT(B359,10))+TIMEVALUE(MID(B359,12,5))))*24,1),"")</f>
        <v/>
      </c>
    </row>
    <row r="360">
      <c r="D360" s="16">
        <f>IF(AND(B360&lt;&gt;"",C360&lt;&gt;""),ROUND((IF(ISNUMBER(C360),C360,DATEVALUE(LEFT(C360,10))+TIMEVALUE(MID(C360,12,5)))-IF(ISNUMBER(B360),B360,DATEVALUE(LEFT(B360,10))+TIMEVALUE(MID(B360,12,5))))*24,1),"")</f>
        <v/>
      </c>
    </row>
    <row r="361">
      <c r="D361" s="16">
        <f>IF(AND(B361&lt;&gt;"",C361&lt;&gt;""),ROUND((IF(ISNUMBER(C361),C361,DATEVALUE(LEFT(C361,10))+TIMEVALUE(MID(C361,12,5)))-IF(ISNUMBER(B361),B361,DATEVALUE(LEFT(B361,10))+TIMEVALUE(MID(B361,12,5))))*24,1),"")</f>
        <v/>
      </c>
    </row>
    <row r="362">
      <c r="D362" s="16">
        <f>IF(AND(B362&lt;&gt;"",C362&lt;&gt;""),ROUND((IF(ISNUMBER(C362),C362,DATEVALUE(LEFT(C362,10))+TIMEVALUE(MID(C362,12,5)))-IF(ISNUMBER(B362),B362,DATEVALUE(LEFT(B362,10))+TIMEVALUE(MID(B362,12,5))))*24,1),"")</f>
        <v/>
      </c>
    </row>
    <row r="363">
      <c r="D363" s="16">
        <f>IF(AND(B363&lt;&gt;"",C363&lt;&gt;""),ROUND((IF(ISNUMBER(C363),C363,DATEVALUE(LEFT(C363,10))+TIMEVALUE(MID(C363,12,5)))-IF(ISNUMBER(B363),B363,DATEVALUE(LEFT(B363,10))+TIMEVALUE(MID(B363,12,5))))*24,1),"")</f>
        <v/>
      </c>
    </row>
    <row r="364">
      <c r="D364" s="16">
        <f>IF(AND(B364&lt;&gt;"",C364&lt;&gt;""),ROUND((IF(ISNUMBER(C364),C364,DATEVALUE(LEFT(C364,10))+TIMEVALUE(MID(C364,12,5)))-IF(ISNUMBER(B364),B364,DATEVALUE(LEFT(B364,10))+TIMEVALUE(MID(B364,12,5))))*24,1),"")</f>
        <v/>
      </c>
    </row>
    <row r="365">
      <c r="D365" s="16">
        <f>IF(AND(B365&lt;&gt;"",C365&lt;&gt;""),ROUND((IF(ISNUMBER(C365),C365,DATEVALUE(LEFT(C365,10))+TIMEVALUE(MID(C365,12,5)))-IF(ISNUMBER(B365),B365,DATEVALUE(LEFT(B365,10))+TIMEVALUE(MID(B365,12,5))))*24,1),"")</f>
        <v/>
      </c>
    </row>
    <row r="366">
      <c r="D366" s="16">
        <f>IF(AND(B366&lt;&gt;"",C366&lt;&gt;""),ROUND((IF(ISNUMBER(C366),C366,DATEVALUE(LEFT(C366,10))+TIMEVALUE(MID(C366,12,5)))-IF(ISNUMBER(B366),B366,DATEVALUE(LEFT(B366,10))+TIMEVALUE(MID(B366,12,5))))*24,1),"")</f>
        <v/>
      </c>
    </row>
    <row r="367">
      <c r="D367" s="16">
        <f>IF(AND(B367&lt;&gt;"",C367&lt;&gt;""),ROUND((IF(ISNUMBER(C367),C367,DATEVALUE(LEFT(C367,10))+TIMEVALUE(MID(C367,12,5)))-IF(ISNUMBER(B367),B367,DATEVALUE(LEFT(B367,10))+TIMEVALUE(MID(B367,12,5))))*24,1),"")</f>
        <v/>
      </c>
    </row>
    <row r="368">
      <c r="D368" s="16">
        <f>IF(AND(B368&lt;&gt;"",C368&lt;&gt;""),ROUND((IF(ISNUMBER(C368),C368,DATEVALUE(LEFT(C368,10))+TIMEVALUE(MID(C368,12,5)))-IF(ISNUMBER(B368),B368,DATEVALUE(LEFT(B368,10))+TIMEVALUE(MID(B368,12,5))))*24,1),"")</f>
        <v/>
      </c>
    </row>
    <row r="369">
      <c r="D369" s="16">
        <f>IF(AND(B369&lt;&gt;"",C369&lt;&gt;""),ROUND((IF(ISNUMBER(C369),C369,DATEVALUE(LEFT(C369,10))+TIMEVALUE(MID(C369,12,5)))-IF(ISNUMBER(B369),B369,DATEVALUE(LEFT(B369,10))+TIMEVALUE(MID(B369,12,5))))*24,1),"")</f>
        <v/>
      </c>
    </row>
    <row r="370">
      <c r="D370" s="16">
        <f>IF(AND(B370&lt;&gt;"",C370&lt;&gt;""),ROUND((IF(ISNUMBER(C370),C370,DATEVALUE(LEFT(C370,10))+TIMEVALUE(MID(C370,12,5)))-IF(ISNUMBER(B370),B370,DATEVALUE(LEFT(B370,10))+TIMEVALUE(MID(B370,12,5))))*24,1),"")</f>
        <v/>
      </c>
    </row>
    <row r="371">
      <c r="D371" s="16">
        <f>IF(AND(B371&lt;&gt;"",C371&lt;&gt;""),ROUND((IF(ISNUMBER(C371),C371,DATEVALUE(LEFT(C371,10))+TIMEVALUE(MID(C371,12,5)))-IF(ISNUMBER(B371),B371,DATEVALUE(LEFT(B371,10))+TIMEVALUE(MID(B371,12,5))))*24,1),"")</f>
        <v/>
      </c>
    </row>
    <row r="372">
      <c r="D372" s="16">
        <f>IF(AND(B372&lt;&gt;"",C372&lt;&gt;""),ROUND((IF(ISNUMBER(C372),C372,DATEVALUE(LEFT(C372,10))+TIMEVALUE(MID(C372,12,5)))-IF(ISNUMBER(B372),B372,DATEVALUE(LEFT(B372,10))+TIMEVALUE(MID(B372,12,5))))*24,1),"")</f>
        <v/>
      </c>
    </row>
    <row r="373">
      <c r="D373" s="16">
        <f>IF(AND(B373&lt;&gt;"",C373&lt;&gt;""),ROUND((IF(ISNUMBER(C373),C373,DATEVALUE(LEFT(C373,10))+TIMEVALUE(MID(C373,12,5)))-IF(ISNUMBER(B373),B373,DATEVALUE(LEFT(B373,10))+TIMEVALUE(MID(B373,12,5))))*24,1),"")</f>
        <v/>
      </c>
    </row>
    <row r="374">
      <c r="D374" s="16">
        <f>IF(AND(B374&lt;&gt;"",C374&lt;&gt;""),ROUND((IF(ISNUMBER(C374),C374,DATEVALUE(LEFT(C374,10))+TIMEVALUE(MID(C374,12,5)))-IF(ISNUMBER(B374),B374,DATEVALUE(LEFT(B374,10))+TIMEVALUE(MID(B374,12,5))))*24,1),"")</f>
        <v/>
      </c>
    </row>
    <row r="375">
      <c r="D375" s="16">
        <f>IF(AND(B375&lt;&gt;"",C375&lt;&gt;""),ROUND((IF(ISNUMBER(C375),C375,DATEVALUE(LEFT(C375,10))+TIMEVALUE(MID(C375,12,5)))-IF(ISNUMBER(B375),B375,DATEVALUE(LEFT(B375,10))+TIMEVALUE(MID(B375,12,5))))*24,1),"")</f>
        <v/>
      </c>
    </row>
    <row r="376">
      <c r="D376" s="16">
        <f>IF(AND(B376&lt;&gt;"",C376&lt;&gt;""),ROUND((IF(ISNUMBER(C376),C376,DATEVALUE(LEFT(C376,10))+TIMEVALUE(MID(C376,12,5)))-IF(ISNUMBER(B376),B376,DATEVALUE(LEFT(B376,10))+TIMEVALUE(MID(B376,12,5))))*24,1),"")</f>
        <v/>
      </c>
    </row>
    <row r="377">
      <c r="D377" s="16">
        <f>IF(AND(B377&lt;&gt;"",C377&lt;&gt;""),ROUND((IF(ISNUMBER(C377),C377,DATEVALUE(LEFT(C377,10))+TIMEVALUE(MID(C377,12,5)))-IF(ISNUMBER(B377),B377,DATEVALUE(LEFT(B377,10))+TIMEVALUE(MID(B377,12,5))))*24,1),"")</f>
        <v/>
      </c>
    </row>
    <row r="378">
      <c r="D378" s="16">
        <f>IF(AND(B378&lt;&gt;"",C378&lt;&gt;""),ROUND((IF(ISNUMBER(C378),C378,DATEVALUE(LEFT(C378,10))+TIMEVALUE(MID(C378,12,5)))-IF(ISNUMBER(B378),B378,DATEVALUE(LEFT(B378,10))+TIMEVALUE(MID(B378,12,5))))*24,1),"")</f>
        <v/>
      </c>
    </row>
    <row r="379">
      <c r="D379" s="16">
        <f>IF(AND(B379&lt;&gt;"",C379&lt;&gt;""),ROUND((IF(ISNUMBER(C379),C379,DATEVALUE(LEFT(C379,10))+TIMEVALUE(MID(C379,12,5)))-IF(ISNUMBER(B379),B379,DATEVALUE(LEFT(B379,10))+TIMEVALUE(MID(B379,12,5))))*24,1),"")</f>
        <v/>
      </c>
    </row>
    <row r="380">
      <c r="D380" s="16">
        <f>IF(AND(B380&lt;&gt;"",C380&lt;&gt;""),ROUND((IF(ISNUMBER(C380),C380,DATEVALUE(LEFT(C380,10))+TIMEVALUE(MID(C380,12,5)))-IF(ISNUMBER(B380),B380,DATEVALUE(LEFT(B380,10))+TIMEVALUE(MID(B380,12,5))))*24,1),"")</f>
        <v/>
      </c>
    </row>
    <row r="381">
      <c r="D381" s="16">
        <f>IF(AND(B381&lt;&gt;"",C381&lt;&gt;""),ROUND((IF(ISNUMBER(C381),C381,DATEVALUE(LEFT(C381,10))+TIMEVALUE(MID(C381,12,5)))-IF(ISNUMBER(B381),B381,DATEVALUE(LEFT(B381,10))+TIMEVALUE(MID(B381,12,5))))*24,1),"")</f>
        <v/>
      </c>
    </row>
    <row r="382">
      <c r="D382" s="16">
        <f>IF(AND(B382&lt;&gt;"",C382&lt;&gt;""),ROUND((IF(ISNUMBER(C382),C382,DATEVALUE(LEFT(C382,10))+TIMEVALUE(MID(C382,12,5)))-IF(ISNUMBER(B382),B382,DATEVALUE(LEFT(B382,10))+TIMEVALUE(MID(B382,12,5))))*24,1),"")</f>
        <v/>
      </c>
    </row>
    <row r="383">
      <c r="D383" s="16">
        <f>IF(AND(B383&lt;&gt;"",C383&lt;&gt;""),ROUND((IF(ISNUMBER(C383),C383,DATEVALUE(LEFT(C383,10))+TIMEVALUE(MID(C383,12,5)))-IF(ISNUMBER(B383),B383,DATEVALUE(LEFT(B383,10))+TIMEVALUE(MID(B383,12,5))))*24,1),"")</f>
        <v/>
      </c>
    </row>
    <row r="384">
      <c r="D384" s="16">
        <f>IF(AND(B384&lt;&gt;"",C384&lt;&gt;""),ROUND((IF(ISNUMBER(C384),C384,DATEVALUE(LEFT(C384,10))+TIMEVALUE(MID(C384,12,5)))-IF(ISNUMBER(B384),B384,DATEVALUE(LEFT(B384,10))+TIMEVALUE(MID(B384,12,5))))*24,1),"")</f>
        <v/>
      </c>
    </row>
    <row r="385">
      <c r="D385" s="16">
        <f>IF(AND(B385&lt;&gt;"",C385&lt;&gt;""),ROUND((IF(ISNUMBER(C385),C385,DATEVALUE(LEFT(C385,10))+TIMEVALUE(MID(C385,12,5)))-IF(ISNUMBER(B385),B385,DATEVALUE(LEFT(B385,10))+TIMEVALUE(MID(B385,12,5))))*24,1),"")</f>
        <v/>
      </c>
    </row>
    <row r="386">
      <c r="D386" s="16">
        <f>IF(AND(B386&lt;&gt;"",C386&lt;&gt;""),ROUND((IF(ISNUMBER(C386),C386,DATEVALUE(LEFT(C386,10))+TIMEVALUE(MID(C386,12,5)))-IF(ISNUMBER(B386),B386,DATEVALUE(LEFT(B386,10))+TIMEVALUE(MID(B386,12,5))))*24,1),"")</f>
        <v/>
      </c>
    </row>
    <row r="387">
      <c r="D387" s="16">
        <f>IF(AND(B387&lt;&gt;"",C387&lt;&gt;""),ROUND((IF(ISNUMBER(C387),C387,DATEVALUE(LEFT(C387,10))+TIMEVALUE(MID(C387,12,5)))-IF(ISNUMBER(B387),B387,DATEVALUE(LEFT(B387,10))+TIMEVALUE(MID(B387,12,5))))*24,1),"")</f>
        <v/>
      </c>
    </row>
    <row r="388">
      <c r="D388" s="16">
        <f>IF(AND(B388&lt;&gt;"",C388&lt;&gt;""),ROUND((IF(ISNUMBER(C388),C388,DATEVALUE(LEFT(C388,10))+TIMEVALUE(MID(C388,12,5)))-IF(ISNUMBER(B388),B388,DATEVALUE(LEFT(B388,10))+TIMEVALUE(MID(B388,12,5))))*24,1),"")</f>
        <v/>
      </c>
    </row>
    <row r="389">
      <c r="D389" s="16">
        <f>IF(AND(B389&lt;&gt;"",C389&lt;&gt;""),ROUND((IF(ISNUMBER(C389),C389,DATEVALUE(LEFT(C389,10))+TIMEVALUE(MID(C389,12,5)))-IF(ISNUMBER(B389),B389,DATEVALUE(LEFT(B389,10))+TIMEVALUE(MID(B389,12,5))))*24,1),"")</f>
        <v/>
      </c>
    </row>
    <row r="390">
      <c r="D390" s="16">
        <f>IF(AND(B390&lt;&gt;"",C390&lt;&gt;""),ROUND((IF(ISNUMBER(C390),C390,DATEVALUE(LEFT(C390,10))+TIMEVALUE(MID(C390,12,5)))-IF(ISNUMBER(B390),B390,DATEVALUE(LEFT(B390,10))+TIMEVALUE(MID(B390,12,5))))*24,1),"")</f>
        <v/>
      </c>
    </row>
    <row r="391">
      <c r="D391" s="16">
        <f>IF(AND(B391&lt;&gt;"",C391&lt;&gt;""),ROUND((IF(ISNUMBER(C391),C391,DATEVALUE(LEFT(C391,10))+TIMEVALUE(MID(C391,12,5)))-IF(ISNUMBER(B391),B391,DATEVALUE(LEFT(B391,10))+TIMEVALUE(MID(B391,12,5))))*24,1),"")</f>
        <v/>
      </c>
    </row>
    <row r="392">
      <c r="D392" s="16">
        <f>IF(AND(B392&lt;&gt;"",C392&lt;&gt;""),ROUND((IF(ISNUMBER(C392),C392,DATEVALUE(LEFT(C392,10))+TIMEVALUE(MID(C392,12,5)))-IF(ISNUMBER(B392),B392,DATEVALUE(LEFT(B392,10))+TIMEVALUE(MID(B392,12,5))))*24,1),"")</f>
        <v/>
      </c>
    </row>
    <row r="393">
      <c r="D393" s="16">
        <f>IF(AND(B393&lt;&gt;"",C393&lt;&gt;""),ROUND((IF(ISNUMBER(C393),C393,DATEVALUE(LEFT(C393,10))+TIMEVALUE(MID(C393,12,5)))-IF(ISNUMBER(B393),B393,DATEVALUE(LEFT(B393,10))+TIMEVALUE(MID(B393,12,5))))*24,1),"")</f>
        <v/>
      </c>
    </row>
    <row r="394">
      <c r="D394" s="16">
        <f>IF(AND(B394&lt;&gt;"",C394&lt;&gt;""),ROUND((IF(ISNUMBER(C394),C394,DATEVALUE(LEFT(C394,10))+TIMEVALUE(MID(C394,12,5)))-IF(ISNUMBER(B394),B394,DATEVALUE(LEFT(B394,10))+TIMEVALUE(MID(B394,12,5))))*24,1),"")</f>
        <v/>
      </c>
    </row>
    <row r="395">
      <c r="D395" s="16">
        <f>IF(AND(B395&lt;&gt;"",C395&lt;&gt;""),ROUND((IF(ISNUMBER(C395),C395,DATEVALUE(LEFT(C395,10))+TIMEVALUE(MID(C395,12,5)))-IF(ISNUMBER(B395),B395,DATEVALUE(LEFT(B395,10))+TIMEVALUE(MID(B395,12,5))))*24,1),"")</f>
        <v/>
      </c>
    </row>
    <row r="396">
      <c r="D396" s="16">
        <f>IF(AND(B396&lt;&gt;"",C396&lt;&gt;""),ROUND((IF(ISNUMBER(C396),C396,DATEVALUE(LEFT(C396,10))+TIMEVALUE(MID(C396,12,5)))-IF(ISNUMBER(B396),B396,DATEVALUE(LEFT(B396,10))+TIMEVALUE(MID(B396,12,5))))*24,1),"")</f>
        <v/>
      </c>
    </row>
    <row r="397">
      <c r="D397" s="16">
        <f>IF(AND(B397&lt;&gt;"",C397&lt;&gt;""),ROUND((IF(ISNUMBER(C397),C397,DATEVALUE(LEFT(C397,10))+TIMEVALUE(MID(C397,12,5)))-IF(ISNUMBER(B397),B397,DATEVALUE(LEFT(B397,10))+TIMEVALUE(MID(B397,12,5))))*24,1),"")</f>
        <v/>
      </c>
    </row>
    <row r="398">
      <c r="D398" s="16">
        <f>IF(AND(B398&lt;&gt;"",C398&lt;&gt;""),ROUND((IF(ISNUMBER(C398),C398,DATEVALUE(LEFT(C398,10))+TIMEVALUE(MID(C398,12,5)))-IF(ISNUMBER(B398),B398,DATEVALUE(LEFT(B398,10))+TIMEVALUE(MID(B398,12,5))))*24,1),"")</f>
        <v/>
      </c>
    </row>
    <row r="399">
      <c r="D399" s="16">
        <f>IF(AND(B399&lt;&gt;"",C399&lt;&gt;""),ROUND((IF(ISNUMBER(C399),C399,DATEVALUE(LEFT(C399,10))+TIMEVALUE(MID(C399,12,5)))-IF(ISNUMBER(B399),B399,DATEVALUE(LEFT(B399,10))+TIMEVALUE(MID(B399,12,5))))*24,1),"")</f>
        <v/>
      </c>
    </row>
    <row r="400">
      <c r="D400" s="16">
        <f>IF(AND(B400&lt;&gt;"",C400&lt;&gt;""),ROUND((IF(ISNUMBER(C400),C400,DATEVALUE(LEFT(C400,10))+TIMEVALUE(MID(C400,12,5)))-IF(ISNUMBER(B400),B400,DATEVALUE(LEFT(B400,10))+TIMEVALUE(MID(B400,12,5))))*24,1),"")</f>
        <v/>
      </c>
    </row>
    <row r="401">
      <c r="D401" s="16">
        <f>IF(AND(B401&lt;&gt;"",C401&lt;&gt;""),ROUND((IF(ISNUMBER(C401),C401,DATEVALUE(LEFT(C401,10))+TIMEVALUE(MID(C401,12,5)))-IF(ISNUMBER(B401),B401,DATEVALUE(LEFT(B401,10))+TIMEVALUE(MID(B401,12,5))))*24,1),"")</f>
        <v/>
      </c>
    </row>
    <row r="402">
      <c r="D402" s="16">
        <f>IF(AND(B402&lt;&gt;"",C402&lt;&gt;""),ROUND((IF(ISNUMBER(C402),C402,DATEVALUE(LEFT(C402,10))+TIMEVALUE(MID(C402,12,5)))-IF(ISNUMBER(B402),B402,DATEVALUE(LEFT(B402,10))+TIMEVALUE(MID(B402,12,5))))*24,1),"")</f>
        <v/>
      </c>
    </row>
    <row r="403">
      <c r="D403" s="16">
        <f>IF(AND(B403&lt;&gt;"",C403&lt;&gt;""),ROUND((IF(ISNUMBER(C403),C403,DATEVALUE(LEFT(C403,10))+TIMEVALUE(MID(C403,12,5)))-IF(ISNUMBER(B403),B403,DATEVALUE(LEFT(B403,10))+TIMEVALUE(MID(B403,12,5))))*24,1),"")</f>
        <v/>
      </c>
    </row>
    <row r="404">
      <c r="D404" s="16">
        <f>IF(AND(B404&lt;&gt;"",C404&lt;&gt;""),ROUND((IF(ISNUMBER(C404),C404,DATEVALUE(LEFT(C404,10))+TIMEVALUE(MID(C404,12,5)))-IF(ISNUMBER(B404),B404,DATEVALUE(LEFT(B404,10))+TIMEVALUE(MID(B404,12,5))))*24,1),"")</f>
        <v/>
      </c>
    </row>
    <row r="405">
      <c r="D405" s="16">
        <f>IF(AND(B405&lt;&gt;"",C405&lt;&gt;""),ROUND((IF(ISNUMBER(C405),C405,DATEVALUE(LEFT(C405,10))+TIMEVALUE(MID(C405,12,5)))-IF(ISNUMBER(B405),B405,DATEVALUE(LEFT(B405,10))+TIMEVALUE(MID(B405,12,5))))*24,1),"")</f>
        <v/>
      </c>
    </row>
    <row r="406">
      <c r="D406" s="16">
        <f>IF(AND(B406&lt;&gt;"",C406&lt;&gt;""),ROUND((IF(ISNUMBER(C406),C406,DATEVALUE(LEFT(C406,10))+TIMEVALUE(MID(C406,12,5)))-IF(ISNUMBER(B406),B406,DATEVALUE(LEFT(B406,10))+TIMEVALUE(MID(B406,12,5))))*24,1),"")</f>
        <v/>
      </c>
    </row>
    <row r="407">
      <c r="D407" s="16">
        <f>IF(AND(B407&lt;&gt;"",C407&lt;&gt;""),ROUND((IF(ISNUMBER(C407),C407,DATEVALUE(LEFT(C407,10))+TIMEVALUE(MID(C407,12,5)))-IF(ISNUMBER(B407),B407,DATEVALUE(LEFT(B407,10))+TIMEVALUE(MID(B407,12,5))))*24,1),"")</f>
        <v/>
      </c>
    </row>
    <row r="408">
      <c r="D408" s="16">
        <f>IF(AND(B408&lt;&gt;"",C408&lt;&gt;""),ROUND((IF(ISNUMBER(C408),C408,DATEVALUE(LEFT(C408,10))+TIMEVALUE(MID(C408,12,5)))-IF(ISNUMBER(B408),B408,DATEVALUE(LEFT(B408,10))+TIMEVALUE(MID(B408,12,5))))*24,1),"")</f>
        <v/>
      </c>
    </row>
    <row r="409">
      <c r="D409" s="16">
        <f>IF(AND(B409&lt;&gt;"",C409&lt;&gt;""),ROUND((IF(ISNUMBER(C409),C409,DATEVALUE(LEFT(C409,10))+TIMEVALUE(MID(C409,12,5)))-IF(ISNUMBER(B409),B409,DATEVALUE(LEFT(B409,10))+TIMEVALUE(MID(B409,12,5))))*24,1),"")</f>
        <v/>
      </c>
    </row>
    <row r="410">
      <c r="D410" s="16">
        <f>IF(AND(B410&lt;&gt;"",C410&lt;&gt;""),ROUND((IF(ISNUMBER(C410),C410,DATEVALUE(LEFT(C410,10))+TIMEVALUE(MID(C410,12,5)))-IF(ISNUMBER(B410),B410,DATEVALUE(LEFT(B410,10))+TIMEVALUE(MID(B410,12,5))))*24,1),"")</f>
        <v/>
      </c>
    </row>
    <row r="411">
      <c r="D411" s="16">
        <f>IF(AND(B411&lt;&gt;"",C411&lt;&gt;""),ROUND((IF(ISNUMBER(C411),C411,DATEVALUE(LEFT(C411,10))+TIMEVALUE(MID(C411,12,5)))-IF(ISNUMBER(B411),B411,DATEVALUE(LEFT(B411,10))+TIMEVALUE(MID(B411,12,5))))*24,1),"")</f>
        <v/>
      </c>
    </row>
    <row r="412">
      <c r="D412" s="16">
        <f>IF(AND(B412&lt;&gt;"",C412&lt;&gt;""),ROUND((IF(ISNUMBER(C412),C412,DATEVALUE(LEFT(C412,10))+TIMEVALUE(MID(C412,12,5)))-IF(ISNUMBER(B412),B412,DATEVALUE(LEFT(B412,10))+TIMEVALUE(MID(B412,12,5))))*24,1),"")</f>
        <v/>
      </c>
    </row>
    <row r="413">
      <c r="D413" s="16">
        <f>IF(AND(B413&lt;&gt;"",C413&lt;&gt;""),ROUND((IF(ISNUMBER(C413),C413,DATEVALUE(LEFT(C413,10))+TIMEVALUE(MID(C413,12,5)))-IF(ISNUMBER(B413),B413,DATEVALUE(LEFT(B413,10))+TIMEVALUE(MID(B413,12,5))))*24,1),"")</f>
        <v/>
      </c>
    </row>
    <row r="414">
      <c r="D414" s="16">
        <f>IF(AND(B414&lt;&gt;"",C414&lt;&gt;""),ROUND((IF(ISNUMBER(C414),C414,DATEVALUE(LEFT(C414,10))+TIMEVALUE(MID(C414,12,5)))-IF(ISNUMBER(B414),B414,DATEVALUE(LEFT(B414,10))+TIMEVALUE(MID(B414,12,5))))*24,1),"")</f>
        <v/>
      </c>
    </row>
    <row r="415">
      <c r="D415" s="16">
        <f>IF(AND(B415&lt;&gt;"",C415&lt;&gt;""),ROUND((IF(ISNUMBER(C415),C415,DATEVALUE(LEFT(C415,10))+TIMEVALUE(MID(C415,12,5)))-IF(ISNUMBER(B415),B415,DATEVALUE(LEFT(B415,10))+TIMEVALUE(MID(B415,12,5))))*24,1),"")</f>
        <v/>
      </c>
    </row>
    <row r="416">
      <c r="D416" s="16">
        <f>IF(AND(B416&lt;&gt;"",C416&lt;&gt;""),ROUND((IF(ISNUMBER(C416),C416,DATEVALUE(LEFT(C416,10))+TIMEVALUE(MID(C416,12,5)))-IF(ISNUMBER(B416),B416,DATEVALUE(LEFT(B416,10))+TIMEVALUE(MID(B416,12,5))))*24,1),"")</f>
        <v/>
      </c>
    </row>
    <row r="417">
      <c r="D417" s="16">
        <f>IF(AND(B417&lt;&gt;"",C417&lt;&gt;""),ROUND((IF(ISNUMBER(C417),C417,DATEVALUE(LEFT(C417,10))+TIMEVALUE(MID(C417,12,5)))-IF(ISNUMBER(B417),B417,DATEVALUE(LEFT(B417,10))+TIMEVALUE(MID(B417,12,5))))*24,1),"")</f>
        <v/>
      </c>
    </row>
    <row r="418">
      <c r="D418" s="16">
        <f>IF(AND(B418&lt;&gt;"",C418&lt;&gt;""),ROUND((IF(ISNUMBER(C418),C418,DATEVALUE(LEFT(C418,10))+TIMEVALUE(MID(C418,12,5)))-IF(ISNUMBER(B418),B418,DATEVALUE(LEFT(B418,10))+TIMEVALUE(MID(B418,12,5))))*24,1),"")</f>
        <v/>
      </c>
    </row>
    <row r="419">
      <c r="D419" s="16">
        <f>IF(AND(B419&lt;&gt;"",C419&lt;&gt;""),ROUND((IF(ISNUMBER(C419),C419,DATEVALUE(LEFT(C419,10))+TIMEVALUE(MID(C419,12,5)))-IF(ISNUMBER(B419),B419,DATEVALUE(LEFT(B419,10))+TIMEVALUE(MID(B419,12,5))))*24,1),"")</f>
        <v/>
      </c>
    </row>
    <row r="420">
      <c r="D420" s="16">
        <f>IF(AND(B420&lt;&gt;"",C420&lt;&gt;""),ROUND((IF(ISNUMBER(C420),C420,DATEVALUE(LEFT(C420,10))+TIMEVALUE(MID(C420,12,5)))-IF(ISNUMBER(B420),B420,DATEVALUE(LEFT(B420,10))+TIMEVALUE(MID(B420,12,5))))*24,1),"")</f>
        <v/>
      </c>
    </row>
    <row r="421">
      <c r="D421" s="16">
        <f>IF(AND(B421&lt;&gt;"",C421&lt;&gt;""),ROUND((IF(ISNUMBER(C421),C421,DATEVALUE(LEFT(C421,10))+TIMEVALUE(MID(C421,12,5)))-IF(ISNUMBER(B421),B421,DATEVALUE(LEFT(B421,10))+TIMEVALUE(MID(B421,12,5))))*24,1),"")</f>
        <v/>
      </c>
    </row>
    <row r="422">
      <c r="D422" s="16">
        <f>IF(AND(B422&lt;&gt;"",C422&lt;&gt;""),ROUND((IF(ISNUMBER(C422),C422,DATEVALUE(LEFT(C422,10))+TIMEVALUE(MID(C422,12,5)))-IF(ISNUMBER(B422),B422,DATEVALUE(LEFT(B422,10))+TIMEVALUE(MID(B422,12,5))))*24,1),"")</f>
        <v/>
      </c>
    </row>
    <row r="423">
      <c r="D423" s="16">
        <f>IF(AND(B423&lt;&gt;"",C423&lt;&gt;""),ROUND((IF(ISNUMBER(C423),C423,DATEVALUE(LEFT(C423,10))+TIMEVALUE(MID(C423,12,5)))-IF(ISNUMBER(B423),B423,DATEVALUE(LEFT(B423,10))+TIMEVALUE(MID(B423,12,5))))*24,1),"")</f>
        <v/>
      </c>
    </row>
    <row r="424">
      <c r="D424" s="16">
        <f>IF(AND(B424&lt;&gt;"",C424&lt;&gt;""),ROUND((IF(ISNUMBER(C424),C424,DATEVALUE(LEFT(C424,10))+TIMEVALUE(MID(C424,12,5)))-IF(ISNUMBER(B424),B424,DATEVALUE(LEFT(B424,10))+TIMEVALUE(MID(B424,12,5))))*24,1),"")</f>
        <v/>
      </c>
    </row>
    <row r="425">
      <c r="D425" s="16">
        <f>IF(AND(B425&lt;&gt;"",C425&lt;&gt;""),ROUND((IF(ISNUMBER(C425),C425,DATEVALUE(LEFT(C425,10))+TIMEVALUE(MID(C425,12,5)))-IF(ISNUMBER(B425),B425,DATEVALUE(LEFT(B425,10))+TIMEVALUE(MID(B425,12,5))))*24,1),"")</f>
        <v/>
      </c>
    </row>
    <row r="426">
      <c r="D426" s="16">
        <f>IF(AND(B426&lt;&gt;"",C426&lt;&gt;""),ROUND((IF(ISNUMBER(C426),C426,DATEVALUE(LEFT(C426,10))+TIMEVALUE(MID(C426,12,5)))-IF(ISNUMBER(B426),B426,DATEVALUE(LEFT(B426,10))+TIMEVALUE(MID(B426,12,5))))*24,1),"")</f>
        <v/>
      </c>
    </row>
    <row r="427">
      <c r="D427" s="16">
        <f>IF(AND(B427&lt;&gt;"",C427&lt;&gt;""),ROUND((IF(ISNUMBER(C427),C427,DATEVALUE(LEFT(C427,10))+TIMEVALUE(MID(C427,12,5)))-IF(ISNUMBER(B427),B427,DATEVALUE(LEFT(B427,10))+TIMEVALUE(MID(B427,12,5))))*24,1),"")</f>
        <v/>
      </c>
    </row>
    <row r="428">
      <c r="D428" s="16">
        <f>IF(AND(B428&lt;&gt;"",C428&lt;&gt;""),ROUND((IF(ISNUMBER(C428),C428,DATEVALUE(LEFT(C428,10))+TIMEVALUE(MID(C428,12,5)))-IF(ISNUMBER(B428),B428,DATEVALUE(LEFT(B428,10))+TIMEVALUE(MID(B428,12,5))))*24,1),"")</f>
        <v/>
      </c>
    </row>
    <row r="429">
      <c r="D429" s="16">
        <f>IF(AND(B429&lt;&gt;"",C429&lt;&gt;""),ROUND((IF(ISNUMBER(C429),C429,DATEVALUE(LEFT(C429,10))+TIMEVALUE(MID(C429,12,5)))-IF(ISNUMBER(B429),B429,DATEVALUE(LEFT(B429,10))+TIMEVALUE(MID(B429,12,5))))*24,1),"")</f>
        <v/>
      </c>
    </row>
    <row r="430">
      <c r="D430" s="16">
        <f>IF(AND(B430&lt;&gt;"",C430&lt;&gt;""),ROUND((IF(ISNUMBER(C430),C430,DATEVALUE(LEFT(C430,10))+TIMEVALUE(MID(C430,12,5)))-IF(ISNUMBER(B430),B430,DATEVALUE(LEFT(B430,10))+TIMEVALUE(MID(B430,12,5))))*24,1),"")</f>
        <v/>
      </c>
    </row>
    <row r="431">
      <c r="D431" s="16">
        <f>IF(AND(B431&lt;&gt;"",C431&lt;&gt;""),ROUND((IF(ISNUMBER(C431),C431,DATEVALUE(LEFT(C431,10))+TIMEVALUE(MID(C431,12,5)))-IF(ISNUMBER(B431),B431,DATEVALUE(LEFT(B431,10))+TIMEVALUE(MID(B431,12,5))))*24,1),"")</f>
        <v/>
      </c>
    </row>
    <row r="432">
      <c r="D432" s="16">
        <f>IF(AND(B432&lt;&gt;"",C432&lt;&gt;""),ROUND((IF(ISNUMBER(C432),C432,DATEVALUE(LEFT(C432,10))+TIMEVALUE(MID(C432,12,5)))-IF(ISNUMBER(B432),B432,DATEVALUE(LEFT(B432,10))+TIMEVALUE(MID(B432,12,5))))*24,1),"")</f>
        <v/>
      </c>
    </row>
    <row r="433">
      <c r="D433" s="16">
        <f>IF(AND(B433&lt;&gt;"",C433&lt;&gt;""),ROUND((IF(ISNUMBER(C433),C433,DATEVALUE(LEFT(C433,10))+TIMEVALUE(MID(C433,12,5)))-IF(ISNUMBER(B433),B433,DATEVALUE(LEFT(B433,10))+TIMEVALUE(MID(B433,12,5))))*24,1),"")</f>
        <v/>
      </c>
    </row>
    <row r="434">
      <c r="D434" s="16">
        <f>IF(AND(B434&lt;&gt;"",C434&lt;&gt;""),ROUND((IF(ISNUMBER(C434),C434,DATEVALUE(LEFT(C434,10))+TIMEVALUE(MID(C434,12,5)))-IF(ISNUMBER(B434),B434,DATEVALUE(LEFT(B434,10))+TIMEVALUE(MID(B434,12,5))))*24,1),"")</f>
        <v/>
      </c>
    </row>
    <row r="435">
      <c r="D435" s="16">
        <f>IF(AND(B435&lt;&gt;"",C435&lt;&gt;""),ROUND((IF(ISNUMBER(C435),C435,DATEVALUE(LEFT(C435,10))+TIMEVALUE(MID(C435,12,5)))-IF(ISNUMBER(B435),B435,DATEVALUE(LEFT(B435,10))+TIMEVALUE(MID(B435,12,5))))*24,1),"")</f>
        <v/>
      </c>
    </row>
    <row r="436">
      <c r="D436" s="16">
        <f>IF(AND(B436&lt;&gt;"",C436&lt;&gt;""),ROUND((IF(ISNUMBER(C436),C436,DATEVALUE(LEFT(C436,10))+TIMEVALUE(MID(C436,12,5)))-IF(ISNUMBER(B436),B436,DATEVALUE(LEFT(B436,10))+TIMEVALUE(MID(B436,12,5))))*24,1),"")</f>
        <v/>
      </c>
    </row>
    <row r="437">
      <c r="D437" s="16">
        <f>IF(AND(B437&lt;&gt;"",C437&lt;&gt;""),ROUND((IF(ISNUMBER(C437),C437,DATEVALUE(LEFT(C437,10))+TIMEVALUE(MID(C437,12,5)))-IF(ISNUMBER(B437),B437,DATEVALUE(LEFT(B437,10))+TIMEVALUE(MID(B437,12,5))))*24,1),"")</f>
        <v/>
      </c>
    </row>
    <row r="438">
      <c r="D438" s="16">
        <f>IF(AND(B438&lt;&gt;"",C438&lt;&gt;""),ROUND((IF(ISNUMBER(C438),C438,DATEVALUE(LEFT(C438,10))+TIMEVALUE(MID(C438,12,5)))-IF(ISNUMBER(B438),B438,DATEVALUE(LEFT(B438,10))+TIMEVALUE(MID(B438,12,5))))*24,1),"")</f>
        <v/>
      </c>
    </row>
    <row r="439">
      <c r="D439" s="16">
        <f>IF(AND(B439&lt;&gt;"",C439&lt;&gt;""),ROUND((IF(ISNUMBER(C439),C439,DATEVALUE(LEFT(C439,10))+TIMEVALUE(MID(C439,12,5)))-IF(ISNUMBER(B439),B439,DATEVALUE(LEFT(B439,10))+TIMEVALUE(MID(B439,12,5))))*24,1),"")</f>
        <v/>
      </c>
    </row>
    <row r="440">
      <c r="D440" s="16">
        <f>IF(AND(B440&lt;&gt;"",C440&lt;&gt;""),ROUND((IF(ISNUMBER(C440),C440,DATEVALUE(LEFT(C440,10))+TIMEVALUE(MID(C440,12,5)))-IF(ISNUMBER(B440),B440,DATEVALUE(LEFT(B440,10))+TIMEVALUE(MID(B440,12,5))))*24,1),"")</f>
        <v/>
      </c>
    </row>
    <row r="441">
      <c r="D441" s="16">
        <f>IF(AND(B441&lt;&gt;"",C441&lt;&gt;""),ROUND((IF(ISNUMBER(C441),C441,DATEVALUE(LEFT(C441,10))+TIMEVALUE(MID(C441,12,5)))-IF(ISNUMBER(B441),B441,DATEVALUE(LEFT(B441,10))+TIMEVALUE(MID(B441,12,5))))*24,1),"")</f>
        <v/>
      </c>
    </row>
    <row r="442">
      <c r="D442" s="16">
        <f>IF(AND(B442&lt;&gt;"",C442&lt;&gt;""),ROUND((IF(ISNUMBER(C442),C442,DATEVALUE(LEFT(C442,10))+TIMEVALUE(MID(C442,12,5)))-IF(ISNUMBER(B442),B442,DATEVALUE(LEFT(B442,10))+TIMEVALUE(MID(B442,12,5))))*24,1),"")</f>
        <v/>
      </c>
    </row>
    <row r="443">
      <c r="D443" s="16">
        <f>IF(AND(B443&lt;&gt;"",C443&lt;&gt;""),ROUND((IF(ISNUMBER(C443),C443,DATEVALUE(LEFT(C443,10))+TIMEVALUE(MID(C443,12,5)))-IF(ISNUMBER(B443),B443,DATEVALUE(LEFT(B443,10))+TIMEVALUE(MID(B443,12,5))))*24,1),"")</f>
        <v/>
      </c>
    </row>
    <row r="444">
      <c r="D444" s="16">
        <f>IF(AND(B444&lt;&gt;"",C444&lt;&gt;""),ROUND((IF(ISNUMBER(C444),C444,DATEVALUE(LEFT(C444,10))+TIMEVALUE(MID(C444,12,5)))-IF(ISNUMBER(B444),B444,DATEVALUE(LEFT(B444,10))+TIMEVALUE(MID(B444,12,5))))*24,1),"")</f>
        <v/>
      </c>
    </row>
    <row r="445">
      <c r="D445" s="16">
        <f>IF(AND(B445&lt;&gt;"",C445&lt;&gt;""),ROUND((IF(ISNUMBER(C445),C445,DATEVALUE(LEFT(C445,10))+TIMEVALUE(MID(C445,12,5)))-IF(ISNUMBER(B445),B445,DATEVALUE(LEFT(B445,10))+TIMEVALUE(MID(B445,12,5))))*24,1),"")</f>
        <v/>
      </c>
    </row>
    <row r="446">
      <c r="D446" s="16">
        <f>IF(AND(B446&lt;&gt;"",C446&lt;&gt;""),ROUND((IF(ISNUMBER(C446),C446,DATEVALUE(LEFT(C446,10))+TIMEVALUE(MID(C446,12,5)))-IF(ISNUMBER(B446),B446,DATEVALUE(LEFT(B446,10))+TIMEVALUE(MID(B446,12,5))))*24,1),"")</f>
        <v/>
      </c>
    </row>
    <row r="447">
      <c r="D447" s="16">
        <f>IF(AND(B447&lt;&gt;"",C447&lt;&gt;""),ROUND((IF(ISNUMBER(C447),C447,DATEVALUE(LEFT(C447,10))+TIMEVALUE(MID(C447,12,5)))-IF(ISNUMBER(B447),B447,DATEVALUE(LEFT(B447,10))+TIMEVALUE(MID(B447,12,5))))*24,1),"")</f>
        <v/>
      </c>
    </row>
    <row r="448">
      <c r="D448" s="16">
        <f>IF(AND(B448&lt;&gt;"",C448&lt;&gt;""),ROUND((IF(ISNUMBER(C448),C448,DATEVALUE(LEFT(C448,10))+TIMEVALUE(MID(C448,12,5)))-IF(ISNUMBER(B448),B448,DATEVALUE(LEFT(B448,10))+TIMEVALUE(MID(B448,12,5))))*24,1),"")</f>
        <v/>
      </c>
    </row>
    <row r="449">
      <c r="D449" s="16">
        <f>IF(AND(B449&lt;&gt;"",C449&lt;&gt;""),ROUND((IF(ISNUMBER(C449),C449,DATEVALUE(LEFT(C449,10))+TIMEVALUE(MID(C449,12,5)))-IF(ISNUMBER(B449),B449,DATEVALUE(LEFT(B449,10))+TIMEVALUE(MID(B449,12,5))))*24,1),"")</f>
        <v/>
      </c>
    </row>
    <row r="450">
      <c r="D450" s="16">
        <f>IF(AND(B450&lt;&gt;"",C450&lt;&gt;""),ROUND((IF(ISNUMBER(C450),C450,DATEVALUE(LEFT(C450,10))+TIMEVALUE(MID(C450,12,5)))-IF(ISNUMBER(B450),B450,DATEVALUE(LEFT(B450,10))+TIMEVALUE(MID(B450,12,5))))*24,1),"")</f>
        <v/>
      </c>
    </row>
    <row r="451">
      <c r="D451" s="16">
        <f>IF(AND(B451&lt;&gt;"",C451&lt;&gt;""),ROUND((IF(ISNUMBER(C451),C451,DATEVALUE(LEFT(C451,10))+TIMEVALUE(MID(C451,12,5)))-IF(ISNUMBER(B451),B451,DATEVALUE(LEFT(B451,10))+TIMEVALUE(MID(B451,12,5))))*24,1),"")</f>
        <v/>
      </c>
    </row>
    <row r="452">
      <c r="D452" s="16">
        <f>IF(AND(B452&lt;&gt;"",C452&lt;&gt;""),ROUND((IF(ISNUMBER(C452),C452,DATEVALUE(LEFT(C452,10))+TIMEVALUE(MID(C452,12,5)))-IF(ISNUMBER(B452),B452,DATEVALUE(LEFT(B452,10))+TIMEVALUE(MID(B452,12,5))))*24,1),"")</f>
        <v/>
      </c>
    </row>
    <row r="453">
      <c r="D453" s="16">
        <f>IF(AND(B453&lt;&gt;"",C453&lt;&gt;""),ROUND((IF(ISNUMBER(C453),C453,DATEVALUE(LEFT(C453,10))+TIMEVALUE(MID(C453,12,5)))-IF(ISNUMBER(B453),B453,DATEVALUE(LEFT(B453,10))+TIMEVALUE(MID(B453,12,5))))*24,1),"")</f>
        <v/>
      </c>
    </row>
    <row r="454">
      <c r="D454" s="16">
        <f>IF(AND(B454&lt;&gt;"",C454&lt;&gt;""),ROUND((IF(ISNUMBER(C454),C454,DATEVALUE(LEFT(C454,10))+TIMEVALUE(MID(C454,12,5)))-IF(ISNUMBER(B454),B454,DATEVALUE(LEFT(B454,10))+TIMEVALUE(MID(B454,12,5))))*24,1),"")</f>
        <v/>
      </c>
    </row>
    <row r="455">
      <c r="D455" s="16">
        <f>IF(AND(B455&lt;&gt;"",C455&lt;&gt;""),ROUND((IF(ISNUMBER(C455),C455,DATEVALUE(LEFT(C455,10))+TIMEVALUE(MID(C455,12,5)))-IF(ISNUMBER(B455),B455,DATEVALUE(LEFT(B455,10))+TIMEVALUE(MID(B455,12,5))))*24,1),"")</f>
        <v/>
      </c>
    </row>
    <row r="456">
      <c r="D456" s="16">
        <f>IF(AND(B456&lt;&gt;"",C456&lt;&gt;""),ROUND((IF(ISNUMBER(C456),C456,DATEVALUE(LEFT(C456,10))+TIMEVALUE(MID(C456,12,5)))-IF(ISNUMBER(B456),B456,DATEVALUE(LEFT(B456,10))+TIMEVALUE(MID(B456,12,5))))*24,1),"")</f>
        <v/>
      </c>
    </row>
    <row r="457">
      <c r="D457" s="16">
        <f>IF(AND(B457&lt;&gt;"",C457&lt;&gt;""),ROUND((IF(ISNUMBER(C457),C457,DATEVALUE(LEFT(C457,10))+TIMEVALUE(MID(C457,12,5)))-IF(ISNUMBER(B457),B457,DATEVALUE(LEFT(B457,10))+TIMEVALUE(MID(B457,12,5))))*24,1),"")</f>
        <v/>
      </c>
    </row>
    <row r="458">
      <c r="D458" s="16">
        <f>IF(AND(B458&lt;&gt;"",C458&lt;&gt;""),ROUND((IF(ISNUMBER(C458),C458,DATEVALUE(LEFT(C458,10))+TIMEVALUE(MID(C458,12,5)))-IF(ISNUMBER(B458),B458,DATEVALUE(LEFT(B458,10))+TIMEVALUE(MID(B458,12,5))))*24,1),"")</f>
        <v/>
      </c>
    </row>
    <row r="459">
      <c r="D459" s="16">
        <f>IF(AND(B459&lt;&gt;"",C459&lt;&gt;""),ROUND((IF(ISNUMBER(C459),C459,DATEVALUE(LEFT(C459,10))+TIMEVALUE(MID(C459,12,5)))-IF(ISNUMBER(B459),B459,DATEVALUE(LEFT(B459,10))+TIMEVALUE(MID(B459,12,5))))*24,1),"")</f>
        <v/>
      </c>
    </row>
    <row r="460">
      <c r="D460" s="16">
        <f>IF(AND(B460&lt;&gt;"",C460&lt;&gt;""),ROUND((IF(ISNUMBER(C460),C460,DATEVALUE(LEFT(C460,10))+TIMEVALUE(MID(C460,12,5)))-IF(ISNUMBER(B460),B460,DATEVALUE(LEFT(B460,10))+TIMEVALUE(MID(B460,12,5))))*24,1),"")</f>
        <v/>
      </c>
    </row>
    <row r="461">
      <c r="D461" s="16">
        <f>IF(AND(B461&lt;&gt;"",C461&lt;&gt;""),ROUND((IF(ISNUMBER(C461),C461,DATEVALUE(LEFT(C461,10))+TIMEVALUE(MID(C461,12,5)))-IF(ISNUMBER(B461),B461,DATEVALUE(LEFT(B461,10))+TIMEVALUE(MID(B461,12,5))))*24,1),"")</f>
        <v/>
      </c>
    </row>
    <row r="462">
      <c r="D462" s="16">
        <f>IF(AND(B462&lt;&gt;"",C462&lt;&gt;""),ROUND((IF(ISNUMBER(C462),C462,DATEVALUE(LEFT(C462,10))+TIMEVALUE(MID(C462,12,5)))-IF(ISNUMBER(B462),B462,DATEVALUE(LEFT(B462,10))+TIMEVALUE(MID(B462,12,5))))*24,1),"")</f>
        <v/>
      </c>
    </row>
    <row r="463">
      <c r="D463" s="16">
        <f>IF(AND(B463&lt;&gt;"",C463&lt;&gt;""),ROUND((IF(ISNUMBER(C463),C463,DATEVALUE(LEFT(C463,10))+TIMEVALUE(MID(C463,12,5)))-IF(ISNUMBER(B463),B463,DATEVALUE(LEFT(B463,10))+TIMEVALUE(MID(B463,12,5))))*24,1),"")</f>
        <v/>
      </c>
    </row>
    <row r="464">
      <c r="D464" s="16">
        <f>IF(AND(B464&lt;&gt;"",C464&lt;&gt;""),ROUND((IF(ISNUMBER(C464),C464,DATEVALUE(LEFT(C464,10))+TIMEVALUE(MID(C464,12,5)))-IF(ISNUMBER(B464),B464,DATEVALUE(LEFT(B464,10))+TIMEVALUE(MID(B464,12,5))))*24,1),"")</f>
        <v/>
      </c>
    </row>
    <row r="465">
      <c r="D465" s="16">
        <f>IF(AND(B465&lt;&gt;"",C465&lt;&gt;""),ROUND((IF(ISNUMBER(C465),C465,DATEVALUE(LEFT(C465,10))+TIMEVALUE(MID(C465,12,5)))-IF(ISNUMBER(B465),B465,DATEVALUE(LEFT(B465,10))+TIMEVALUE(MID(B465,12,5))))*24,1),"")</f>
        <v/>
      </c>
    </row>
    <row r="466">
      <c r="D466" s="16">
        <f>IF(AND(B466&lt;&gt;"",C466&lt;&gt;""),ROUND((IF(ISNUMBER(C466),C466,DATEVALUE(LEFT(C466,10))+TIMEVALUE(MID(C466,12,5)))-IF(ISNUMBER(B466),B466,DATEVALUE(LEFT(B466,10))+TIMEVALUE(MID(B466,12,5))))*24,1),"")</f>
        <v/>
      </c>
    </row>
    <row r="467">
      <c r="D467" s="16">
        <f>IF(AND(B467&lt;&gt;"",C467&lt;&gt;""),ROUND((IF(ISNUMBER(C467),C467,DATEVALUE(LEFT(C467,10))+TIMEVALUE(MID(C467,12,5)))-IF(ISNUMBER(B467),B467,DATEVALUE(LEFT(B467,10))+TIMEVALUE(MID(B467,12,5))))*24,1),"")</f>
        <v/>
      </c>
    </row>
    <row r="468">
      <c r="D468" s="16">
        <f>IF(AND(B468&lt;&gt;"",C468&lt;&gt;""),ROUND((IF(ISNUMBER(C468),C468,DATEVALUE(LEFT(C468,10))+TIMEVALUE(MID(C468,12,5)))-IF(ISNUMBER(B468),B468,DATEVALUE(LEFT(B468,10))+TIMEVALUE(MID(B468,12,5))))*24,1),"")</f>
        <v/>
      </c>
    </row>
    <row r="469">
      <c r="D469" s="16">
        <f>IF(AND(B469&lt;&gt;"",C469&lt;&gt;""),ROUND((IF(ISNUMBER(C469),C469,DATEVALUE(LEFT(C469,10))+TIMEVALUE(MID(C469,12,5)))-IF(ISNUMBER(B469),B469,DATEVALUE(LEFT(B469,10))+TIMEVALUE(MID(B469,12,5))))*24,1),"")</f>
        <v/>
      </c>
    </row>
    <row r="470">
      <c r="D470" s="16">
        <f>IF(AND(B470&lt;&gt;"",C470&lt;&gt;""),ROUND((IF(ISNUMBER(C470),C470,DATEVALUE(LEFT(C470,10))+TIMEVALUE(MID(C470,12,5)))-IF(ISNUMBER(B470),B470,DATEVALUE(LEFT(B470,10))+TIMEVALUE(MID(B470,12,5))))*24,1),"")</f>
        <v/>
      </c>
    </row>
    <row r="471">
      <c r="D471" s="16">
        <f>IF(AND(B471&lt;&gt;"",C471&lt;&gt;""),ROUND((IF(ISNUMBER(C471),C471,DATEVALUE(LEFT(C471,10))+TIMEVALUE(MID(C471,12,5)))-IF(ISNUMBER(B471),B471,DATEVALUE(LEFT(B471,10))+TIMEVALUE(MID(B471,12,5))))*24,1),"")</f>
        <v/>
      </c>
    </row>
    <row r="472">
      <c r="D472" s="16">
        <f>IF(AND(B472&lt;&gt;"",C472&lt;&gt;""),ROUND((IF(ISNUMBER(C472),C472,DATEVALUE(LEFT(C472,10))+TIMEVALUE(MID(C472,12,5)))-IF(ISNUMBER(B472),B472,DATEVALUE(LEFT(B472,10))+TIMEVALUE(MID(B472,12,5))))*24,1),"")</f>
        <v/>
      </c>
    </row>
    <row r="473">
      <c r="D473" s="16">
        <f>IF(AND(B473&lt;&gt;"",C473&lt;&gt;""),ROUND((IF(ISNUMBER(C473),C473,DATEVALUE(LEFT(C473,10))+TIMEVALUE(MID(C473,12,5)))-IF(ISNUMBER(B473),B473,DATEVALUE(LEFT(B473,10))+TIMEVALUE(MID(B473,12,5))))*24,1),"")</f>
        <v/>
      </c>
    </row>
    <row r="474">
      <c r="D474" s="16">
        <f>IF(AND(B474&lt;&gt;"",C474&lt;&gt;""),ROUND((IF(ISNUMBER(C474),C474,DATEVALUE(LEFT(C474,10))+TIMEVALUE(MID(C474,12,5)))-IF(ISNUMBER(B474),B474,DATEVALUE(LEFT(B474,10))+TIMEVALUE(MID(B474,12,5))))*24,1),"")</f>
        <v/>
      </c>
    </row>
    <row r="475">
      <c r="D475" s="16">
        <f>IF(AND(B475&lt;&gt;"",C475&lt;&gt;""),ROUND((IF(ISNUMBER(C475),C475,DATEVALUE(LEFT(C475,10))+TIMEVALUE(MID(C475,12,5)))-IF(ISNUMBER(B475),B475,DATEVALUE(LEFT(B475,10))+TIMEVALUE(MID(B475,12,5))))*24,1),"")</f>
        <v/>
      </c>
    </row>
    <row r="476">
      <c r="D476" s="16">
        <f>IF(AND(B476&lt;&gt;"",C476&lt;&gt;""),ROUND((IF(ISNUMBER(C476),C476,DATEVALUE(LEFT(C476,10))+TIMEVALUE(MID(C476,12,5)))-IF(ISNUMBER(B476),B476,DATEVALUE(LEFT(B476,10))+TIMEVALUE(MID(B476,12,5))))*24,1),"")</f>
        <v/>
      </c>
    </row>
    <row r="477">
      <c r="D477" s="16">
        <f>IF(AND(B477&lt;&gt;"",C477&lt;&gt;""),ROUND((IF(ISNUMBER(C477),C477,DATEVALUE(LEFT(C477,10))+TIMEVALUE(MID(C477,12,5)))-IF(ISNUMBER(B477),B477,DATEVALUE(LEFT(B477,10))+TIMEVALUE(MID(B477,12,5))))*24,1),"")</f>
        <v/>
      </c>
    </row>
    <row r="478">
      <c r="D478" s="16">
        <f>IF(AND(B478&lt;&gt;"",C478&lt;&gt;""),ROUND((IF(ISNUMBER(C478),C478,DATEVALUE(LEFT(C478,10))+TIMEVALUE(MID(C478,12,5)))-IF(ISNUMBER(B478),B478,DATEVALUE(LEFT(B478,10))+TIMEVALUE(MID(B478,12,5))))*24,1),"")</f>
        <v/>
      </c>
    </row>
    <row r="479">
      <c r="D479" s="16">
        <f>IF(AND(B479&lt;&gt;"",C479&lt;&gt;""),ROUND((IF(ISNUMBER(C479),C479,DATEVALUE(LEFT(C479,10))+TIMEVALUE(MID(C479,12,5)))-IF(ISNUMBER(B479),B479,DATEVALUE(LEFT(B479,10))+TIMEVALUE(MID(B479,12,5))))*24,1),"")</f>
        <v/>
      </c>
    </row>
    <row r="480">
      <c r="D480" s="16">
        <f>IF(AND(B480&lt;&gt;"",C480&lt;&gt;""),ROUND((IF(ISNUMBER(C480),C480,DATEVALUE(LEFT(C480,10))+TIMEVALUE(MID(C480,12,5)))-IF(ISNUMBER(B480),B480,DATEVALUE(LEFT(B480,10))+TIMEVALUE(MID(B480,12,5))))*24,1),"")</f>
        <v/>
      </c>
    </row>
    <row r="481">
      <c r="D481" s="16">
        <f>IF(AND(B481&lt;&gt;"",C481&lt;&gt;""),ROUND((IF(ISNUMBER(C481),C481,DATEVALUE(LEFT(C481,10))+TIMEVALUE(MID(C481,12,5)))-IF(ISNUMBER(B481),B481,DATEVALUE(LEFT(B481,10))+TIMEVALUE(MID(B481,12,5))))*24,1),"")</f>
        <v/>
      </c>
    </row>
    <row r="482">
      <c r="D482" s="16">
        <f>IF(AND(B482&lt;&gt;"",C482&lt;&gt;""),ROUND((IF(ISNUMBER(C482),C482,DATEVALUE(LEFT(C482,10))+TIMEVALUE(MID(C482,12,5)))-IF(ISNUMBER(B482),B482,DATEVALUE(LEFT(B482,10))+TIMEVALUE(MID(B482,12,5))))*24,1),"")</f>
        <v/>
      </c>
    </row>
    <row r="483">
      <c r="D483" s="16">
        <f>IF(AND(B483&lt;&gt;"",C483&lt;&gt;""),ROUND((IF(ISNUMBER(C483),C483,DATEVALUE(LEFT(C483,10))+TIMEVALUE(MID(C483,12,5)))-IF(ISNUMBER(B483),B483,DATEVALUE(LEFT(B483,10))+TIMEVALUE(MID(B483,12,5))))*24,1),"")</f>
        <v/>
      </c>
    </row>
    <row r="484">
      <c r="D484" s="16">
        <f>IF(AND(B484&lt;&gt;"",C484&lt;&gt;""),ROUND((IF(ISNUMBER(C484),C484,DATEVALUE(LEFT(C484,10))+TIMEVALUE(MID(C484,12,5)))-IF(ISNUMBER(B484),B484,DATEVALUE(LEFT(B484,10))+TIMEVALUE(MID(B484,12,5))))*24,1),"")</f>
        <v/>
      </c>
    </row>
    <row r="485">
      <c r="D485" s="16">
        <f>IF(AND(B485&lt;&gt;"",C485&lt;&gt;""),ROUND((IF(ISNUMBER(C485),C485,DATEVALUE(LEFT(C485,10))+TIMEVALUE(MID(C485,12,5)))-IF(ISNUMBER(B485),B485,DATEVALUE(LEFT(B485,10))+TIMEVALUE(MID(B485,12,5))))*24,1),"")</f>
        <v/>
      </c>
    </row>
    <row r="486">
      <c r="D486" s="16">
        <f>IF(AND(B486&lt;&gt;"",C486&lt;&gt;""),ROUND((IF(ISNUMBER(C486),C486,DATEVALUE(LEFT(C486,10))+TIMEVALUE(MID(C486,12,5)))-IF(ISNUMBER(B486),B486,DATEVALUE(LEFT(B486,10))+TIMEVALUE(MID(B486,12,5))))*24,1),"")</f>
        <v/>
      </c>
    </row>
    <row r="487">
      <c r="D487" s="16">
        <f>IF(AND(B487&lt;&gt;"",C487&lt;&gt;""),ROUND((IF(ISNUMBER(C487),C487,DATEVALUE(LEFT(C487,10))+TIMEVALUE(MID(C487,12,5)))-IF(ISNUMBER(B487),B487,DATEVALUE(LEFT(B487,10))+TIMEVALUE(MID(B487,12,5))))*24,1),"")</f>
        <v/>
      </c>
    </row>
    <row r="488">
      <c r="D488" s="16">
        <f>IF(AND(B488&lt;&gt;"",C488&lt;&gt;""),ROUND((IF(ISNUMBER(C488),C488,DATEVALUE(LEFT(C488,10))+TIMEVALUE(MID(C488,12,5)))-IF(ISNUMBER(B488),B488,DATEVALUE(LEFT(B488,10))+TIMEVALUE(MID(B488,12,5))))*24,1),"")</f>
        <v/>
      </c>
    </row>
    <row r="489">
      <c r="D489" s="16">
        <f>IF(AND(B489&lt;&gt;"",C489&lt;&gt;""),ROUND((IF(ISNUMBER(C489),C489,DATEVALUE(LEFT(C489,10))+TIMEVALUE(MID(C489,12,5)))-IF(ISNUMBER(B489),B489,DATEVALUE(LEFT(B489,10))+TIMEVALUE(MID(B489,12,5))))*24,1),"")</f>
        <v/>
      </c>
    </row>
    <row r="490">
      <c r="D490" s="16">
        <f>IF(AND(B490&lt;&gt;"",C490&lt;&gt;""),ROUND((IF(ISNUMBER(C490),C490,DATEVALUE(LEFT(C490,10))+TIMEVALUE(MID(C490,12,5)))-IF(ISNUMBER(B490),B490,DATEVALUE(LEFT(B490,10))+TIMEVALUE(MID(B490,12,5))))*24,1),"")</f>
        <v/>
      </c>
    </row>
    <row r="491">
      <c r="D491" s="16">
        <f>IF(AND(B491&lt;&gt;"",C491&lt;&gt;""),ROUND((IF(ISNUMBER(C491),C491,DATEVALUE(LEFT(C491,10))+TIMEVALUE(MID(C491,12,5)))-IF(ISNUMBER(B491),B491,DATEVALUE(LEFT(B491,10))+TIMEVALUE(MID(B491,12,5))))*24,1),"")</f>
        <v/>
      </c>
    </row>
    <row r="492">
      <c r="D492" s="16">
        <f>IF(AND(B492&lt;&gt;"",C492&lt;&gt;""),ROUND((IF(ISNUMBER(C492),C492,DATEVALUE(LEFT(C492,10))+TIMEVALUE(MID(C492,12,5)))-IF(ISNUMBER(B492),B492,DATEVALUE(LEFT(B492,10))+TIMEVALUE(MID(B492,12,5))))*24,1),"")</f>
        <v/>
      </c>
    </row>
    <row r="493">
      <c r="D493" s="16">
        <f>IF(AND(B493&lt;&gt;"",C493&lt;&gt;""),ROUND((IF(ISNUMBER(C493),C493,DATEVALUE(LEFT(C493,10))+TIMEVALUE(MID(C493,12,5)))-IF(ISNUMBER(B493),B493,DATEVALUE(LEFT(B493,10))+TIMEVALUE(MID(B493,12,5))))*24,1),"")</f>
        <v/>
      </c>
    </row>
    <row r="494">
      <c r="D494" s="16">
        <f>IF(AND(B494&lt;&gt;"",C494&lt;&gt;""),ROUND((IF(ISNUMBER(C494),C494,DATEVALUE(LEFT(C494,10))+TIMEVALUE(MID(C494,12,5)))-IF(ISNUMBER(B494),B494,DATEVALUE(LEFT(B494,10))+TIMEVALUE(MID(B494,12,5))))*24,1),"")</f>
        <v/>
      </c>
    </row>
    <row r="495">
      <c r="D495" s="16">
        <f>IF(AND(B495&lt;&gt;"",C495&lt;&gt;""),ROUND((IF(ISNUMBER(C495),C495,DATEVALUE(LEFT(C495,10))+TIMEVALUE(MID(C495,12,5)))-IF(ISNUMBER(B495),B495,DATEVALUE(LEFT(B495,10))+TIMEVALUE(MID(B495,12,5))))*24,1),"")</f>
        <v/>
      </c>
    </row>
    <row r="496">
      <c r="D496" s="16">
        <f>IF(AND(B496&lt;&gt;"",C496&lt;&gt;""),ROUND((IF(ISNUMBER(C496),C496,DATEVALUE(LEFT(C496,10))+TIMEVALUE(MID(C496,12,5)))-IF(ISNUMBER(B496),B496,DATEVALUE(LEFT(B496,10))+TIMEVALUE(MID(B496,12,5))))*24,1),"")</f>
        <v/>
      </c>
    </row>
    <row r="497">
      <c r="D497" s="16">
        <f>IF(AND(B497&lt;&gt;"",C497&lt;&gt;""),ROUND((IF(ISNUMBER(C497),C497,DATEVALUE(LEFT(C497,10))+TIMEVALUE(MID(C497,12,5)))-IF(ISNUMBER(B497),B497,DATEVALUE(LEFT(B497,10))+TIMEVALUE(MID(B497,12,5))))*24,1),"")</f>
        <v/>
      </c>
    </row>
    <row r="498">
      <c r="D498" s="16">
        <f>IF(AND(B498&lt;&gt;"",C498&lt;&gt;""),ROUND((IF(ISNUMBER(C498),C498,DATEVALUE(LEFT(C498,10))+TIMEVALUE(MID(C498,12,5)))-IF(ISNUMBER(B498),B498,DATEVALUE(LEFT(B498,10))+TIMEVALUE(MID(B498,12,5))))*24,1),"")</f>
        <v/>
      </c>
    </row>
    <row r="499">
      <c r="D499" s="16">
        <f>IF(AND(B499&lt;&gt;"",C499&lt;&gt;""),ROUND((IF(ISNUMBER(C499),C499,DATEVALUE(LEFT(C499,10))+TIMEVALUE(MID(C499,12,5)))-IF(ISNUMBER(B499),B499,DATEVALUE(LEFT(B499,10))+TIMEVALUE(MID(B499,12,5))))*24,1),"")</f>
        <v/>
      </c>
    </row>
  </sheetData>
  <mergeCells count="1">
    <mergeCell ref="A1:H1"/>
  </mergeCells>
  <dataValidations count="3">
    <dataValidation sqref="A3:A500" showDropDown="0" showInputMessage="0" showErrorMessage="1" allowBlank="1" errorTitle="Valor no válido" error="Elija un valor de la lista desplegable." type="list">
      <formula1>=LISTAS!$E$2:$E$5</formula1>
    </dataValidation>
    <dataValidation sqref="E3:E500" showDropDown="0" showInputMessage="0" showErrorMessage="1" allowBlank="1" errorTitle="Valor no válido" error="Elija un valor de la lista desplegable." type="list">
      <formula1>=LISTAS!$G$2:$G$3</formula1>
    </dataValidation>
    <dataValidation sqref="F3:F500" showDropDown="0" showInputMessage="0" showErrorMessage="1" allowBlank="1" errorTitle="Valor no válido" error="Elija un valor de la lista desplegable." type="list">
      <formula1>=LISTAS!$F$2:$F$10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30" customWidth="1" min="9" max="9"/>
  </cols>
  <sheetData>
    <row r="1">
      <c r="A1" s="7" t="inlineStr">
        <is>
          <t>SERV_EXTERNOS · Plazos reales de proveedores externos.  (Logística · envío y retorno)</t>
        </is>
      </c>
    </row>
    <row r="2" ht="42" customHeight="1">
      <c r="A2" s="8" t="inlineStr">
        <is>
          <t>Código OT</t>
        </is>
      </c>
      <c r="B2" s="8" t="inlineStr">
        <is>
          <t>Servicio</t>
        </is>
      </c>
      <c r="C2" s="8" t="inlineStr">
        <is>
          <t>Proveedor</t>
        </is>
      </c>
      <c r="D2" s="8" t="inlineStr">
        <is>
          <t>Fecha envío</t>
        </is>
      </c>
      <c r="E2" s="8" t="inlineStr">
        <is>
          <t>Fecha retorno</t>
        </is>
      </c>
      <c r="F2" s="14" t="inlineStr">
        <is>
          <t>Días</t>
        </is>
      </c>
      <c r="G2" s="8" t="inlineStr">
        <is>
          <t>Kg</t>
        </is>
      </c>
      <c r="H2" s="8" t="inlineStr">
        <is>
          <t>m²</t>
        </is>
      </c>
      <c r="I2" s="8" t="inlineStr">
        <is>
          <t>Observación</t>
        </is>
      </c>
    </row>
    <row r="3">
      <c r="A3" s="9" t="inlineStr">
        <is>
          <t>OT-2026-015</t>
        </is>
      </c>
      <c r="B3" s="9" t="inlineStr">
        <is>
          <t>Granallado y pintura</t>
        </is>
      </c>
      <c r="C3" s="9" t="inlineStr">
        <is>
          <t>Proveedor ejemplo</t>
        </is>
      </c>
      <c r="D3" s="9" t="inlineStr">
        <is>
          <t>2026-11-05</t>
        </is>
      </c>
      <c r="E3" s="9" t="inlineStr">
        <is>
          <t>2026-11-12</t>
        </is>
      </c>
      <c r="F3" s="15">
        <f>IF(AND(D3&lt;&gt;"",E3&lt;&gt;""),IF(ISNUMBER(E3),E3,DATEVALUE(E3))-IF(ISNUMBER(D3),D3,DATEVALUE(D3)),"")</f>
        <v/>
      </c>
      <c r="G3" s="9" t="n">
        <v>9800</v>
      </c>
      <c r="H3" s="9" t="n">
        <v>210</v>
      </c>
      <c r="I3" s="9" t="n"/>
      <c r="J3" s="11" t="inlineStr">
        <is>
          <t>← EJEMPLO: borrar esta fila</t>
        </is>
      </c>
    </row>
    <row r="4">
      <c r="B4" s="12" t="n"/>
      <c r="F4" s="16">
        <f>IF(AND(D4&lt;&gt;"",E4&lt;&gt;""),IF(ISNUMBER(E4),E4,DATEVALUE(E4))-IF(ISNUMBER(D4),D4,DATEVALUE(D4)),"")</f>
        <v/>
      </c>
    </row>
    <row r="5">
      <c r="B5" s="12" t="n"/>
      <c r="F5" s="16">
        <f>IF(AND(D5&lt;&gt;"",E5&lt;&gt;""),IF(ISNUMBER(E5),E5,DATEVALUE(E5))-IF(ISNUMBER(D5),D5,DATEVALUE(D5)),"")</f>
        <v/>
      </c>
    </row>
    <row r="6">
      <c r="B6" s="12" t="n"/>
      <c r="F6" s="16">
        <f>IF(AND(D6&lt;&gt;"",E6&lt;&gt;""),IF(ISNUMBER(E6),E6,DATEVALUE(E6))-IF(ISNUMBER(D6),D6,DATEVALUE(D6)),"")</f>
        <v/>
      </c>
    </row>
    <row r="7">
      <c r="B7" s="12" t="n"/>
      <c r="F7" s="16">
        <f>IF(AND(D7&lt;&gt;"",E7&lt;&gt;""),IF(ISNUMBER(E7),E7,DATEVALUE(E7))-IF(ISNUMBER(D7),D7,DATEVALUE(D7)),"")</f>
        <v/>
      </c>
    </row>
    <row r="8">
      <c r="B8" s="12" t="n"/>
      <c r="F8" s="16">
        <f>IF(AND(D8&lt;&gt;"",E8&lt;&gt;""),IF(ISNUMBER(E8),E8,DATEVALUE(E8))-IF(ISNUMBER(D8),D8,DATEVALUE(D8)),"")</f>
        <v/>
      </c>
    </row>
    <row r="9">
      <c r="B9" s="12" t="n"/>
      <c r="F9" s="16">
        <f>IF(AND(D9&lt;&gt;"",E9&lt;&gt;""),IF(ISNUMBER(E9),E9,DATEVALUE(E9))-IF(ISNUMBER(D9),D9,DATEVALUE(D9)),"")</f>
        <v/>
      </c>
    </row>
    <row r="10">
      <c r="B10" s="12" t="n"/>
      <c r="F10" s="16">
        <f>IF(AND(D10&lt;&gt;"",E10&lt;&gt;""),IF(ISNUMBER(E10),E10,DATEVALUE(E10))-IF(ISNUMBER(D10),D10,DATEVALUE(D10)),"")</f>
        <v/>
      </c>
    </row>
    <row r="11">
      <c r="B11" s="12" t="n"/>
      <c r="F11" s="16">
        <f>IF(AND(D11&lt;&gt;"",E11&lt;&gt;""),IF(ISNUMBER(E11),E11,DATEVALUE(E11))-IF(ISNUMBER(D11),D11,DATEVALUE(D11)),"")</f>
        <v/>
      </c>
    </row>
    <row r="12">
      <c r="B12" s="12" t="n"/>
      <c r="F12" s="16">
        <f>IF(AND(D12&lt;&gt;"",E12&lt;&gt;""),IF(ISNUMBER(E12),E12,DATEVALUE(E12))-IF(ISNUMBER(D12),D12,DATEVALUE(D12)),"")</f>
        <v/>
      </c>
    </row>
    <row r="13">
      <c r="B13" s="12" t="n"/>
      <c r="F13" s="16">
        <f>IF(AND(D13&lt;&gt;"",E13&lt;&gt;""),IF(ISNUMBER(E13),E13,DATEVALUE(E13))-IF(ISNUMBER(D13),D13,DATEVALUE(D13)),"")</f>
        <v/>
      </c>
    </row>
    <row r="14">
      <c r="B14" s="12" t="n"/>
      <c r="F14" s="16">
        <f>IF(AND(D14&lt;&gt;"",E14&lt;&gt;""),IF(ISNUMBER(E14),E14,DATEVALUE(E14))-IF(ISNUMBER(D14),D14,DATEVALUE(D14)),"")</f>
        <v/>
      </c>
    </row>
    <row r="15">
      <c r="B15" s="12" t="n"/>
      <c r="F15" s="16">
        <f>IF(AND(D15&lt;&gt;"",E15&lt;&gt;""),IF(ISNUMBER(E15),E15,DATEVALUE(E15))-IF(ISNUMBER(D15),D15,DATEVALUE(D15)),"")</f>
        <v/>
      </c>
    </row>
    <row r="16">
      <c r="B16" s="12" t="n"/>
      <c r="F16" s="16">
        <f>IF(AND(D16&lt;&gt;"",E16&lt;&gt;""),IF(ISNUMBER(E16),E16,DATEVALUE(E16))-IF(ISNUMBER(D16),D16,DATEVALUE(D16)),"")</f>
        <v/>
      </c>
    </row>
    <row r="17">
      <c r="B17" s="12" t="n"/>
      <c r="F17" s="16">
        <f>IF(AND(D17&lt;&gt;"",E17&lt;&gt;""),IF(ISNUMBER(E17),E17,DATEVALUE(E17))-IF(ISNUMBER(D17),D17,DATEVALUE(D17)),"")</f>
        <v/>
      </c>
    </row>
    <row r="18">
      <c r="B18" s="12" t="n"/>
      <c r="F18" s="16">
        <f>IF(AND(D18&lt;&gt;"",E18&lt;&gt;""),IF(ISNUMBER(E18),E18,DATEVALUE(E18))-IF(ISNUMBER(D18),D18,DATEVALUE(D18)),"")</f>
        <v/>
      </c>
    </row>
    <row r="19">
      <c r="B19" s="12" t="n"/>
      <c r="F19" s="16">
        <f>IF(AND(D19&lt;&gt;"",E19&lt;&gt;""),IF(ISNUMBER(E19),E19,DATEVALUE(E19))-IF(ISNUMBER(D19),D19,DATEVALUE(D19)),"")</f>
        <v/>
      </c>
    </row>
    <row r="20">
      <c r="B20" s="12" t="n"/>
      <c r="F20" s="16">
        <f>IF(AND(D20&lt;&gt;"",E20&lt;&gt;""),IF(ISNUMBER(E20),E20,DATEVALUE(E20))-IF(ISNUMBER(D20),D20,DATEVALUE(D20)),"")</f>
        <v/>
      </c>
    </row>
    <row r="21">
      <c r="B21" s="12" t="n"/>
      <c r="F21" s="16">
        <f>IF(AND(D21&lt;&gt;"",E21&lt;&gt;""),IF(ISNUMBER(E21),E21,DATEVALUE(E21))-IF(ISNUMBER(D21),D21,DATEVALUE(D21)),"")</f>
        <v/>
      </c>
    </row>
    <row r="22">
      <c r="B22" s="12" t="n"/>
      <c r="F22" s="16">
        <f>IF(AND(D22&lt;&gt;"",E22&lt;&gt;""),IF(ISNUMBER(E22),E22,DATEVALUE(E22))-IF(ISNUMBER(D22),D22,DATEVALUE(D22)),"")</f>
        <v/>
      </c>
    </row>
    <row r="23">
      <c r="B23" s="12" t="n"/>
      <c r="F23" s="16">
        <f>IF(AND(D23&lt;&gt;"",E23&lt;&gt;""),IF(ISNUMBER(E23),E23,DATEVALUE(E23))-IF(ISNUMBER(D23),D23,DATEVALUE(D23)),"")</f>
        <v/>
      </c>
    </row>
    <row r="24">
      <c r="B24" s="12" t="n"/>
      <c r="F24" s="16">
        <f>IF(AND(D24&lt;&gt;"",E24&lt;&gt;""),IF(ISNUMBER(E24),E24,DATEVALUE(E24))-IF(ISNUMBER(D24),D24,DATEVALUE(D24)),"")</f>
        <v/>
      </c>
    </row>
    <row r="25">
      <c r="B25" s="12" t="n"/>
      <c r="F25" s="16">
        <f>IF(AND(D25&lt;&gt;"",E25&lt;&gt;""),IF(ISNUMBER(E25),E25,DATEVALUE(E25))-IF(ISNUMBER(D25),D25,DATEVALUE(D25)),"")</f>
        <v/>
      </c>
    </row>
    <row r="26">
      <c r="B26" s="12" t="n"/>
      <c r="F26" s="16">
        <f>IF(AND(D26&lt;&gt;"",E26&lt;&gt;""),IF(ISNUMBER(E26),E26,DATEVALUE(E26))-IF(ISNUMBER(D26),D26,DATEVALUE(D26)),"")</f>
        <v/>
      </c>
    </row>
    <row r="27">
      <c r="B27" s="12" t="n"/>
      <c r="F27" s="16">
        <f>IF(AND(D27&lt;&gt;"",E27&lt;&gt;""),IF(ISNUMBER(E27),E27,DATEVALUE(E27))-IF(ISNUMBER(D27),D27,DATEVALUE(D27)),"")</f>
        <v/>
      </c>
    </row>
    <row r="28">
      <c r="B28" s="12" t="n"/>
      <c r="F28" s="16">
        <f>IF(AND(D28&lt;&gt;"",E28&lt;&gt;""),IF(ISNUMBER(E28),E28,DATEVALUE(E28))-IF(ISNUMBER(D28),D28,DATEVALUE(D28)),"")</f>
        <v/>
      </c>
    </row>
    <row r="29">
      <c r="B29" s="12" t="n"/>
      <c r="F29" s="16">
        <f>IF(AND(D29&lt;&gt;"",E29&lt;&gt;""),IF(ISNUMBER(E29),E29,DATEVALUE(E29))-IF(ISNUMBER(D29),D29,DATEVALUE(D29)),"")</f>
        <v/>
      </c>
    </row>
    <row r="30">
      <c r="B30" s="12" t="n"/>
      <c r="F30" s="16">
        <f>IF(AND(D30&lt;&gt;"",E30&lt;&gt;""),IF(ISNUMBER(E30),E30,DATEVALUE(E30))-IF(ISNUMBER(D30),D30,DATEVALUE(D30)),"")</f>
        <v/>
      </c>
    </row>
    <row r="31">
      <c r="B31" s="12" t="n"/>
      <c r="F31" s="16">
        <f>IF(AND(D31&lt;&gt;"",E31&lt;&gt;""),IF(ISNUMBER(E31),E31,DATEVALUE(E31))-IF(ISNUMBER(D31),D31,DATEVALUE(D31)),"")</f>
        <v/>
      </c>
    </row>
    <row r="32">
      <c r="B32" s="12" t="n"/>
      <c r="F32" s="16">
        <f>IF(AND(D32&lt;&gt;"",E32&lt;&gt;""),IF(ISNUMBER(E32),E32,DATEVALUE(E32))-IF(ISNUMBER(D32),D32,DATEVALUE(D32)),"")</f>
        <v/>
      </c>
    </row>
    <row r="33">
      <c r="B33" s="12" t="n"/>
      <c r="F33" s="16">
        <f>IF(AND(D33&lt;&gt;"",E33&lt;&gt;""),IF(ISNUMBER(E33),E33,DATEVALUE(E33))-IF(ISNUMBER(D33),D33,DATEVALUE(D33)),"")</f>
        <v/>
      </c>
    </row>
    <row r="34">
      <c r="B34" s="12" t="n"/>
      <c r="F34" s="16">
        <f>IF(AND(D34&lt;&gt;"",E34&lt;&gt;""),IF(ISNUMBER(E34),E34,DATEVALUE(E34))-IF(ISNUMBER(D34),D34,DATEVALUE(D34)),"")</f>
        <v/>
      </c>
    </row>
    <row r="35">
      <c r="B35" s="12" t="n"/>
      <c r="F35" s="16">
        <f>IF(AND(D35&lt;&gt;"",E35&lt;&gt;""),IF(ISNUMBER(E35),E35,DATEVALUE(E35))-IF(ISNUMBER(D35),D35,DATEVALUE(D35)),"")</f>
        <v/>
      </c>
    </row>
    <row r="36">
      <c r="B36" s="12" t="n"/>
      <c r="F36" s="16">
        <f>IF(AND(D36&lt;&gt;"",E36&lt;&gt;""),IF(ISNUMBER(E36),E36,DATEVALUE(E36))-IF(ISNUMBER(D36),D36,DATEVALUE(D36)),"")</f>
        <v/>
      </c>
    </row>
    <row r="37">
      <c r="B37" s="12" t="n"/>
      <c r="F37" s="16">
        <f>IF(AND(D37&lt;&gt;"",E37&lt;&gt;""),IF(ISNUMBER(E37),E37,DATEVALUE(E37))-IF(ISNUMBER(D37),D37,DATEVALUE(D37)),"")</f>
        <v/>
      </c>
    </row>
    <row r="38">
      <c r="B38" s="12" t="n"/>
      <c r="F38" s="16">
        <f>IF(AND(D38&lt;&gt;"",E38&lt;&gt;""),IF(ISNUMBER(E38),E38,DATEVALUE(E38))-IF(ISNUMBER(D38),D38,DATEVALUE(D38)),"")</f>
        <v/>
      </c>
    </row>
    <row r="39">
      <c r="B39" s="12" t="n"/>
      <c r="F39" s="16">
        <f>IF(AND(D39&lt;&gt;"",E39&lt;&gt;""),IF(ISNUMBER(E39),E39,DATEVALUE(E39))-IF(ISNUMBER(D39),D39,DATEVALUE(D39)),"")</f>
        <v/>
      </c>
    </row>
    <row r="40">
      <c r="B40" s="12" t="n"/>
      <c r="F40" s="16">
        <f>IF(AND(D40&lt;&gt;"",E40&lt;&gt;""),IF(ISNUMBER(E40),E40,DATEVALUE(E40))-IF(ISNUMBER(D40),D40,DATEVALUE(D40)),"")</f>
        <v/>
      </c>
    </row>
    <row r="41">
      <c r="B41" s="12" t="n"/>
      <c r="F41" s="16">
        <f>IF(AND(D41&lt;&gt;"",E41&lt;&gt;""),IF(ISNUMBER(E41),E41,DATEVALUE(E41))-IF(ISNUMBER(D41),D41,DATEVALUE(D41)),"")</f>
        <v/>
      </c>
    </row>
    <row r="42">
      <c r="B42" s="12" t="n"/>
      <c r="F42" s="16">
        <f>IF(AND(D42&lt;&gt;"",E42&lt;&gt;""),IF(ISNUMBER(E42),E42,DATEVALUE(E42))-IF(ISNUMBER(D42),D42,DATEVALUE(D42)),"")</f>
        <v/>
      </c>
    </row>
    <row r="43">
      <c r="B43" s="12" t="n"/>
      <c r="F43" s="16">
        <f>IF(AND(D43&lt;&gt;"",E43&lt;&gt;""),IF(ISNUMBER(E43),E43,DATEVALUE(E43))-IF(ISNUMBER(D43),D43,DATEVALUE(D43)),"")</f>
        <v/>
      </c>
    </row>
    <row r="44">
      <c r="B44" s="12" t="n"/>
      <c r="F44" s="16">
        <f>IF(AND(D44&lt;&gt;"",E44&lt;&gt;""),IF(ISNUMBER(E44),E44,DATEVALUE(E44))-IF(ISNUMBER(D44),D44,DATEVALUE(D44)),"")</f>
        <v/>
      </c>
    </row>
    <row r="45">
      <c r="B45" s="12" t="n"/>
      <c r="F45" s="16">
        <f>IF(AND(D45&lt;&gt;"",E45&lt;&gt;""),IF(ISNUMBER(E45),E45,DATEVALUE(E45))-IF(ISNUMBER(D45),D45,DATEVALUE(D45)),"")</f>
        <v/>
      </c>
    </row>
    <row r="46">
      <c r="B46" s="12" t="n"/>
      <c r="F46" s="16">
        <f>IF(AND(D46&lt;&gt;"",E46&lt;&gt;""),IF(ISNUMBER(E46),E46,DATEVALUE(E46))-IF(ISNUMBER(D46),D46,DATEVALUE(D46)),"")</f>
        <v/>
      </c>
    </row>
    <row r="47">
      <c r="B47" s="12" t="n"/>
      <c r="F47" s="16">
        <f>IF(AND(D47&lt;&gt;"",E47&lt;&gt;""),IF(ISNUMBER(E47),E47,DATEVALUE(E47))-IF(ISNUMBER(D47),D47,DATEVALUE(D47)),"")</f>
        <v/>
      </c>
    </row>
    <row r="48">
      <c r="B48" s="12" t="n"/>
      <c r="F48" s="16">
        <f>IF(AND(D48&lt;&gt;"",E48&lt;&gt;""),IF(ISNUMBER(E48),E48,DATEVALUE(E48))-IF(ISNUMBER(D48),D48,DATEVALUE(D48)),"")</f>
        <v/>
      </c>
    </row>
    <row r="49">
      <c r="B49" s="12" t="n"/>
      <c r="F49" s="16">
        <f>IF(AND(D49&lt;&gt;"",E49&lt;&gt;""),IF(ISNUMBER(E49),E49,DATEVALUE(E49))-IF(ISNUMBER(D49),D49,DATEVALUE(D49)),"")</f>
        <v/>
      </c>
    </row>
    <row r="50">
      <c r="B50" s="12" t="n"/>
      <c r="F50" s="16">
        <f>IF(AND(D50&lt;&gt;"",E50&lt;&gt;""),IF(ISNUMBER(E50),E50,DATEVALUE(E50))-IF(ISNUMBER(D50),D50,DATEVALUE(D50)),"")</f>
        <v/>
      </c>
    </row>
    <row r="51">
      <c r="B51" s="12" t="n"/>
      <c r="F51" s="16">
        <f>IF(AND(D51&lt;&gt;"",E51&lt;&gt;""),IF(ISNUMBER(E51),E51,DATEVALUE(E51))-IF(ISNUMBER(D51),D51,DATEVALUE(D51)),"")</f>
        <v/>
      </c>
    </row>
    <row r="52">
      <c r="B52" s="12" t="n"/>
      <c r="F52" s="16">
        <f>IF(AND(D52&lt;&gt;"",E52&lt;&gt;""),IF(ISNUMBER(E52),E52,DATEVALUE(E52))-IF(ISNUMBER(D52),D52,DATEVALUE(D52)),"")</f>
        <v/>
      </c>
    </row>
    <row r="53">
      <c r="B53" s="12" t="n"/>
      <c r="F53" s="16">
        <f>IF(AND(D53&lt;&gt;"",E53&lt;&gt;""),IF(ISNUMBER(E53),E53,DATEVALUE(E53))-IF(ISNUMBER(D53),D53,DATEVALUE(D53)),"")</f>
        <v/>
      </c>
    </row>
    <row r="54">
      <c r="B54" s="12" t="n"/>
      <c r="F54" s="16">
        <f>IF(AND(D54&lt;&gt;"",E54&lt;&gt;""),IF(ISNUMBER(E54),E54,DATEVALUE(E54))-IF(ISNUMBER(D54),D54,DATEVALUE(D54)),"")</f>
        <v/>
      </c>
    </row>
    <row r="55">
      <c r="B55" s="12" t="n"/>
      <c r="F55" s="16">
        <f>IF(AND(D55&lt;&gt;"",E55&lt;&gt;""),IF(ISNUMBER(E55),E55,DATEVALUE(E55))-IF(ISNUMBER(D55),D55,DATEVALUE(D55)),"")</f>
        <v/>
      </c>
    </row>
    <row r="56">
      <c r="B56" s="12" t="n"/>
      <c r="F56" s="16">
        <f>IF(AND(D56&lt;&gt;"",E56&lt;&gt;""),IF(ISNUMBER(E56),E56,DATEVALUE(E56))-IF(ISNUMBER(D56),D56,DATEVALUE(D56)),"")</f>
        <v/>
      </c>
    </row>
    <row r="57">
      <c r="B57" s="12" t="n"/>
      <c r="F57" s="16">
        <f>IF(AND(D57&lt;&gt;"",E57&lt;&gt;""),IF(ISNUMBER(E57),E57,DATEVALUE(E57))-IF(ISNUMBER(D57),D57,DATEVALUE(D57)),"")</f>
        <v/>
      </c>
    </row>
    <row r="58">
      <c r="B58" s="12" t="n"/>
      <c r="F58" s="16">
        <f>IF(AND(D58&lt;&gt;"",E58&lt;&gt;""),IF(ISNUMBER(E58),E58,DATEVALUE(E58))-IF(ISNUMBER(D58),D58,DATEVALUE(D58)),"")</f>
        <v/>
      </c>
    </row>
    <row r="59">
      <c r="B59" s="12" t="n"/>
      <c r="F59" s="16">
        <f>IF(AND(D59&lt;&gt;"",E59&lt;&gt;""),IF(ISNUMBER(E59),E59,DATEVALUE(E59))-IF(ISNUMBER(D59),D59,DATEVALUE(D59)),"")</f>
        <v/>
      </c>
    </row>
    <row r="60">
      <c r="F60" s="16">
        <f>IF(AND(D60&lt;&gt;"",E60&lt;&gt;""),IF(ISNUMBER(E60),E60,DATEVALUE(E60))-IF(ISNUMBER(D60),D60,DATEVALUE(D60)),"")</f>
        <v/>
      </c>
    </row>
    <row r="61">
      <c r="F61" s="16">
        <f>IF(AND(D61&lt;&gt;"",E61&lt;&gt;""),IF(ISNUMBER(E61),E61,DATEVALUE(E61))-IF(ISNUMBER(D61),D61,DATEVALUE(D61)),"")</f>
        <v/>
      </c>
    </row>
    <row r="62">
      <c r="F62" s="16">
        <f>IF(AND(D62&lt;&gt;"",E62&lt;&gt;""),IF(ISNUMBER(E62),E62,DATEVALUE(E62))-IF(ISNUMBER(D62),D62,DATEVALUE(D62)),"")</f>
        <v/>
      </c>
    </row>
    <row r="63">
      <c r="F63" s="16">
        <f>IF(AND(D63&lt;&gt;"",E63&lt;&gt;""),IF(ISNUMBER(E63),E63,DATEVALUE(E63))-IF(ISNUMBER(D63),D63,DATEVALUE(D63)),"")</f>
        <v/>
      </c>
    </row>
    <row r="64">
      <c r="F64" s="16">
        <f>IF(AND(D64&lt;&gt;"",E64&lt;&gt;""),IF(ISNUMBER(E64),E64,DATEVALUE(E64))-IF(ISNUMBER(D64),D64,DATEVALUE(D64)),"")</f>
        <v/>
      </c>
    </row>
    <row r="65">
      <c r="F65" s="16">
        <f>IF(AND(D65&lt;&gt;"",E65&lt;&gt;""),IF(ISNUMBER(E65),E65,DATEVALUE(E65))-IF(ISNUMBER(D65),D65,DATEVALUE(D65)),"")</f>
        <v/>
      </c>
    </row>
    <row r="66">
      <c r="F66" s="16">
        <f>IF(AND(D66&lt;&gt;"",E66&lt;&gt;""),IF(ISNUMBER(E66),E66,DATEVALUE(E66))-IF(ISNUMBER(D66),D66,DATEVALUE(D66)),"")</f>
        <v/>
      </c>
    </row>
    <row r="67">
      <c r="F67" s="16">
        <f>IF(AND(D67&lt;&gt;"",E67&lt;&gt;""),IF(ISNUMBER(E67),E67,DATEVALUE(E67))-IF(ISNUMBER(D67),D67,DATEVALUE(D67)),"")</f>
        <v/>
      </c>
    </row>
    <row r="68">
      <c r="F68" s="16">
        <f>IF(AND(D68&lt;&gt;"",E68&lt;&gt;""),IF(ISNUMBER(E68),E68,DATEVALUE(E68))-IF(ISNUMBER(D68),D68,DATEVALUE(D68)),"")</f>
        <v/>
      </c>
    </row>
    <row r="69">
      <c r="F69" s="16">
        <f>IF(AND(D69&lt;&gt;"",E69&lt;&gt;""),IF(ISNUMBER(E69),E69,DATEVALUE(E69))-IF(ISNUMBER(D69),D69,DATEVALUE(D69)),"")</f>
        <v/>
      </c>
    </row>
    <row r="70">
      <c r="F70" s="16">
        <f>IF(AND(D70&lt;&gt;"",E70&lt;&gt;""),IF(ISNUMBER(E70),E70,DATEVALUE(E70))-IF(ISNUMBER(D70),D70,DATEVALUE(D70)),"")</f>
        <v/>
      </c>
    </row>
    <row r="71">
      <c r="F71" s="16">
        <f>IF(AND(D71&lt;&gt;"",E71&lt;&gt;""),IF(ISNUMBER(E71),E71,DATEVALUE(E71))-IF(ISNUMBER(D71),D71,DATEVALUE(D71)),"")</f>
        <v/>
      </c>
    </row>
    <row r="72">
      <c r="F72" s="16">
        <f>IF(AND(D72&lt;&gt;"",E72&lt;&gt;""),IF(ISNUMBER(E72),E72,DATEVALUE(E72))-IF(ISNUMBER(D72),D72,DATEVALUE(D72)),"")</f>
        <v/>
      </c>
    </row>
    <row r="73">
      <c r="F73" s="16">
        <f>IF(AND(D73&lt;&gt;"",E73&lt;&gt;""),IF(ISNUMBER(E73),E73,DATEVALUE(E73))-IF(ISNUMBER(D73),D73,DATEVALUE(D73)),"")</f>
        <v/>
      </c>
    </row>
    <row r="74">
      <c r="F74" s="16">
        <f>IF(AND(D74&lt;&gt;"",E74&lt;&gt;""),IF(ISNUMBER(E74),E74,DATEVALUE(E74))-IF(ISNUMBER(D74),D74,DATEVALUE(D74)),"")</f>
        <v/>
      </c>
    </row>
    <row r="75">
      <c r="F75" s="16">
        <f>IF(AND(D75&lt;&gt;"",E75&lt;&gt;""),IF(ISNUMBER(E75),E75,DATEVALUE(E75))-IF(ISNUMBER(D75),D75,DATEVALUE(D75)),"")</f>
        <v/>
      </c>
    </row>
    <row r="76">
      <c r="F76" s="16">
        <f>IF(AND(D76&lt;&gt;"",E76&lt;&gt;""),IF(ISNUMBER(E76),E76,DATEVALUE(E76))-IF(ISNUMBER(D76),D76,DATEVALUE(D76)),"")</f>
        <v/>
      </c>
    </row>
    <row r="77">
      <c r="F77" s="16">
        <f>IF(AND(D77&lt;&gt;"",E77&lt;&gt;""),IF(ISNUMBER(E77),E77,DATEVALUE(E77))-IF(ISNUMBER(D77),D77,DATEVALUE(D77)),"")</f>
        <v/>
      </c>
    </row>
    <row r="78">
      <c r="F78" s="16">
        <f>IF(AND(D78&lt;&gt;"",E78&lt;&gt;""),IF(ISNUMBER(E78),E78,DATEVALUE(E78))-IF(ISNUMBER(D78),D78,DATEVALUE(D78)),"")</f>
        <v/>
      </c>
    </row>
    <row r="79">
      <c r="F79" s="16">
        <f>IF(AND(D79&lt;&gt;"",E79&lt;&gt;""),IF(ISNUMBER(E79),E79,DATEVALUE(E79))-IF(ISNUMBER(D79),D79,DATEVALUE(D79)),"")</f>
        <v/>
      </c>
    </row>
    <row r="80">
      <c r="F80" s="16">
        <f>IF(AND(D80&lt;&gt;"",E80&lt;&gt;""),IF(ISNUMBER(E80),E80,DATEVALUE(E80))-IF(ISNUMBER(D80),D80,DATEVALUE(D80)),"")</f>
        <v/>
      </c>
    </row>
    <row r="81">
      <c r="F81" s="16">
        <f>IF(AND(D81&lt;&gt;"",E81&lt;&gt;""),IF(ISNUMBER(E81),E81,DATEVALUE(E81))-IF(ISNUMBER(D81),D81,DATEVALUE(D81)),"")</f>
        <v/>
      </c>
    </row>
    <row r="82">
      <c r="F82" s="16">
        <f>IF(AND(D82&lt;&gt;"",E82&lt;&gt;""),IF(ISNUMBER(E82),E82,DATEVALUE(E82))-IF(ISNUMBER(D82),D82,DATEVALUE(D82)),"")</f>
        <v/>
      </c>
    </row>
    <row r="83">
      <c r="F83" s="16">
        <f>IF(AND(D83&lt;&gt;"",E83&lt;&gt;""),IF(ISNUMBER(E83),E83,DATEVALUE(E83))-IF(ISNUMBER(D83),D83,DATEVALUE(D83)),"")</f>
        <v/>
      </c>
    </row>
    <row r="84">
      <c r="F84" s="16">
        <f>IF(AND(D84&lt;&gt;"",E84&lt;&gt;""),IF(ISNUMBER(E84),E84,DATEVALUE(E84))-IF(ISNUMBER(D84),D84,DATEVALUE(D84)),"")</f>
        <v/>
      </c>
    </row>
    <row r="85">
      <c r="F85" s="16">
        <f>IF(AND(D85&lt;&gt;"",E85&lt;&gt;""),IF(ISNUMBER(E85),E85,DATEVALUE(E85))-IF(ISNUMBER(D85),D85,DATEVALUE(D85)),"")</f>
        <v/>
      </c>
    </row>
    <row r="86">
      <c r="F86" s="16">
        <f>IF(AND(D86&lt;&gt;"",E86&lt;&gt;""),IF(ISNUMBER(E86),E86,DATEVALUE(E86))-IF(ISNUMBER(D86),D86,DATEVALUE(D86)),"")</f>
        <v/>
      </c>
    </row>
    <row r="87">
      <c r="F87" s="16">
        <f>IF(AND(D87&lt;&gt;"",E87&lt;&gt;""),IF(ISNUMBER(E87),E87,DATEVALUE(E87))-IF(ISNUMBER(D87),D87,DATEVALUE(D87)),"")</f>
        <v/>
      </c>
    </row>
    <row r="88">
      <c r="F88" s="16">
        <f>IF(AND(D88&lt;&gt;"",E88&lt;&gt;""),IF(ISNUMBER(E88),E88,DATEVALUE(E88))-IF(ISNUMBER(D88),D88,DATEVALUE(D88)),"")</f>
        <v/>
      </c>
    </row>
    <row r="89">
      <c r="F89" s="16">
        <f>IF(AND(D89&lt;&gt;"",E89&lt;&gt;""),IF(ISNUMBER(E89),E89,DATEVALUE(E89))-IF(ISNUMBER(D89),D89,DATEVALUE(D89)),"")</f>
        <v/>
      </c>
    </row>
    <row r="90">
      <c r="F90" s="16">
        <f>IF(AND(D90&lt;&gt;"",E90&lt;&gt;""),IF(ISNUMBER(E90),E90,DATEVALUE(E90))-IF(ISNUMBER(D90),D90,DATEVALUE(D90)),"")</f>
        <v/>
      </c>
    </row>
    <row r="91">
      <c r="F91" s="16">
        <f>IF(AND(D91&lt;&gt;"",E91&lt;&gt;""),IF(ISNUMBER(E91),E91,DATEVALUE(E91))-IF(ISNUMBER(D91),D91,DATEVALUE(D91)),"")</f>
        <v/>
      </c>
    </row>
    <row r="92">
      <c r="F92" s="16">
        <f>IF(AND(D92&lt;&gt;"",E92&lt;&gt;""),IF(ISNUMBER(E92),E92,DATEVALUE(E92))-IF(ISNUMBER(D92),D92,DATEVALUE(D92)),"")</f>
        <v/>
      </c>
    </row>
    <row r="93">
      <c r="F93" s="16">
        <f>IF(AND(D93&lt;&gt;"",E93&lt;&gt;""),IF(ISNUMBER(E93),E93,DATEVALUE(E93))-IF(ISNUMBER(D93),D93,DATEVALUE(D93)),"")</f>
        <v/>
      </c>
    </row>
    <row r="94">
      <c r="F94" s="16">
        <f>IF(AND(D94&lt;&gt;"",E94&lt;&gt;""),IF(ISNUMBER(E94),E94,DATEVALUE(E94))-IF(ISNUMBER(D94),D94,DATEVALUE(D94)),"")</f>
        <v/>
      </c>
    </row>
    <row r="95">
      <c r="F95" s="16">
        <f>IF(AND(D95&lt;&gt;"",E95&lt;&gt;""),IF(ISNUMBER(E95),E95,DATEVALUE(E95))-IF(ISNUMBER(D95),D95,DATEVALUE(D95)),"")</f>
        <v/>
      </c>
    </row>
    <row r="96">
      <c r="F96" s="16">
        <f>IF(AND(D96&lt;&gt;"",E96&lt;&gt;""),IF(ISNUMBER(E96),E96,DATEVALUE(E96))-IF(ISNUMBER(D96),D96,DATEVALUE(D96)),"")</f>
        <v/>
      </c>
    </row>
    <row r="97">
      <c r="F97" s="16">
        <f>IF(AND(D97&lt;&gt;"",E97&lt;&gt;""),IF(ISNUMBER(E97),E97,DATEVALUE(E97))-IF(ISNUMBER(D97),D97,DATEVALUE(D97)),"")</f>
        <v/>
      </c>
    </row>
    <row r="98">
      <c r="F98" s="16">
        <f>IF(AND(D98&lt;&gt;"",E98&lt;&gt;""),IF(ISNUMBER(E98),E98,DATEVALUE(E98))-IF(ISNUMBER(D98),D98,DATEVALUE(D98)),"")</f>
        <v/>
      </c>
    </row>
    <row r="99">
      <c r="F99" s="16">
        <f>IF(AND(D99&lt;&gt;"",E99&lt;&gt;""),IF(ISNUMBER(E99),E99,DATEVALUE(E99))-IF(ISNUMBER(D99),D99,DATEVALUE(D99)),"")</f>
        <v/>
      </c>
    </row>
    <row r="100">
      <c r="F100" s="16">
        <f>IF(AND(D100&lt;&gt;"",E100&lt;&gt;""),IF(ISNUMBER(E100),E100,DATEVALUE(E100))-IF(ISNUMBER(D100),D100,DATEVALUE(D100)),"")</f>
        <v/>
      </c>
    </row>
    <row r="101">
      <c r="F101" s="16">
        <f>IF(AND(D101&lt;&gt;"",E101&lt;&gt;""),IF(ISNUMBER(E101),E101,DATEVALUE(E101))-IF(ISNUMBER(D101),D101,DATEVALUE(D101)),"")</f>
        <v/>
      </c>
    </row>
    <row r="102">
      <c r="F102" s="16">
        <f>IF(AND(D102&lt;&gt;"",E102&lt;&gt;""),IF(ISNUMBER(E102),E102,DATEVALUE(E102))-IF(ISNUMBER(D102),D102,DATEVALUE(D102)),"")</f>
        <v/>
      </c>
    </row>
    <row r="103">
      <c r="F103" s="16">
        <f>IF(AND(D103&lt;&gt;"",E103&lt;&gt;""),IF(ISNUMBER(E103),E103,DATEVALUE(E103))-IF(ISNUMBER(D103),D103,DATEVALUE(D103)),"")</f>
        <v/>
      </c>
    </row>
    <row r="104">
      <c r="F104" s="16">
        <f>IF(AND(D104&lt;&gt;"",E104&lt;&gt;""),IF(ISNUMBER(E104),E104,DATEVALUE(E104))-IF(ISNUMBER(D104),D104,DATEVALUE(D104)),"")</f>
        <v/>
      </c>
    </row>
    <row r="105">
      <c r="F105" s="16">
        <f>IF(AND(D105&lt;&gt;"",E105&lt;&gt;""),IF(ISNUMBER(E105),E105,DATEVALUE(E105))-IF(ISNUMBER(D105),D105,DATEVALUE(D105)),"")</f>
        <v/>
      </c>
    </row>
    <row r="106">
      <c r="F106" s="16">
        <f>IF(AND(D106&lt;&gt;"",E106&lt;&gt;""),IF(ISNUMBER(E106),E106,DATEVALUE(E106))-IF(ISNUMBER(D106),D106,DATEVALUE(D106)),"")</f>
        <v/>
      </c>
    </row>
    <row r="107">
      <c r="F107" s="16">
        <f>IF(AND(D107&lt;&gt;"",E107&lt;&gt;""),IF(ISNUMBER(E107),E107,DATEVALUE(E107))-IF(ISNUMBER(D107),D107,DATEVALUE(D107)),"")</f>
        <v/>
      </c>
    </row>
    <row r="108">
      <c r="F108" s="16">
        <f>IF(AND(D108&lt;&gt;"",E108&lt;&gt;""),IF(ISNUMBER(E108),E108,DATEVALUE(E108))-IF(ISNUMBER(D108),D108,DATEVALUE(D108)),"")</f>
        <v/>
      </c>
    </row>
    <row r="109">
      <c r="F109" s="16">
        <f>IF(AND(D109&lt;&gt;"",E109&lt;&gt;""),IF(ISNUMBER(E109),E109,DATEVALUE(E109))-IF(ISNUMBER(D109),D109,DATEVALUE(D109)),"")</f>
        <v/>
      </c>
    </row>
    <row r="110">
      <c r="F110" s="16">
        <f>IF(AND(D110&lt;&gt;"",E110&lt;&gt;""),IF(ISNUMBER(E110),E110,DATEVALUE(E110))-IF(ISNUMBER(D110),D110,DATEVALUE(D110)),"")</f>
        <v/>
      </c>
    </row>
    <row r="111">
      <c r="F111" s="16">
        <f>IF(AND(D111&lt;&gt;"",E111&lt;&gt;""),IF(ISNUMBER(E111),E111,DATEVALUE(E111))-IF(ISNUMBER(D111),D111,DATEVALUE(D111)),"")</f>
        <v/>
      </c>
    </row>
    <row r="112">
      <c r="F112" s="16">
        <f>IF(AND(D112&lt;&gt;"",E112&lt;&gt;""),IF(ISNUMBER(E112),E112,DATEVALUE(E112))-IF(ISNUMBER(D112),D112,DATEVALUE(D112)),"")</f>
        <v/>
      </c>
    </row>
    <row r="113">
      <c r="F113" s="16">
        <f>IF(AND(D113&lt;&gt;"",E113&lt;&gt;""),IF(ISNUMBER(E113),E113,DATEVALUE(E113))-IF(ISNUMBER(D113),D113,DATEVALUE(D113)),"")</f>
        <v/>
      </c>
    </row>
    <row r="114">
      <c r="F114" s="16">
        <f>IF(AND(D114&lt;&gt;"",E114&lt;&gt;""),IF(ISNUMBER(E114),E114,DATEVALUE(E114))-IF(ISNUMBER(D114),D114,DATEVALUE(D114)),"")</f>
        <v/>
      </c>
    </row>
    <row r="115">
      <c r="F115" s="16">
        <f>IF(AND(D115&lt;&gt;"",E115&lt;&gt;""),IF(ISNUMBER(E115),E115,DATEVALUE(E115))-IF(ISNUMBER(D115),D115,DATEVALUE(D115)),"")</f>
        <v/>
      </c>
    </row>
    <row r="116">
      <c r="F116" s="16">
        <f>IF(AND(D116&lt;&gt;"",E116&lt;&gt;""),IF(ISNUMBER(E116),E116,DATEVALUE(E116))-IF(ISNUMBER(D116),D116,DATEVALUE(D116)),"")</f>
        <v/>
      </c>
    </row>
    <row r="117">
      <c r="F117" s="16">
        <f>IF(AND(D117&lt;&gt;"",E117&lt;&gt;""),IF(ISNUMBER(E117),E117,DATEVALUE(E117))-IF(ISNUMBER(D117),D117,DATEVALUE(D117)),"")</f>
        <v/>
      </c>
    </row>
    <row r="118">
      <c r="F118" s="16">
        <f>IF(AND(D118&lt;&gt;"",E118&lt;&gt;""),IF(ISNUMBER(E118),E118,DATEVALUE(E118))-IF(ISNUMBER(D118),D118,DATEVALUE(D118)),"")</f>
        <v/>
      </c>
    </row>
    <row r="119">
      <c r="F119" s="16">
        <f>IF(AND(D119&lt;&gt;"",E119&lt;&gt;""),IF(ISNUMBER(E119),E119,DATEVALUE(E119))-IF(ISNUMBER(D119),D119,DATEVALUE(D119)),"")</f>
        <v/>
      </c>
    </row>
    <row r="120">
      <c r="F120" s="16">
        <f>IF(AND(D120&lt;&gt;"",E120&lt;&gt;""),IF(ISNUMBER(E120),E120,DATEVALUE(E120))-IF(ISNUMBER(D120),D120,DATEVALUE(D120)),"")</f>
        <v/>
      </c>
    </row>
    <row r="121">
      <c r="F121" s="16">
        <f>IF(AND(D121&lt;&gt;"",E121&lt;&gt;""),IF(ISNUMBER(E121),E121,DATEVALUE(E121))-IF(ISNUMBER(D121),D121,DATEVALUE(D121)),"")</f>
        <v/>
      </c>
    </row>
    <row r="122">
      <c r="F122" s="16">
        <f>IF(AND(D122&lt;&gt;"",E122&lt;&gt;""),IF(ISNUMBER(E122),E122,DATEVALUE(E122))-IF(ISNUMBER(D122),D122,DATEVALUE(D122)),"")</f>
        <v/>
      </c>
    </row>
    <row r="123">
      <c r="F123" s="16">
        <f>IF(AND(D123&lt;&gt;"",E123&lt;&gt;""),IF(ISNUMBER(E123),E123,DATEVALUE(E123))-IF(ISNUMBER(D123),D123,DATEVALUE(D123)),"")</f>
        <v/>
      </c>
    </row>
    <row r="124">
      <c r="F124" s="16">
        <f>IF(AND(D124&lt;&gt;"",E124&lt;&gt;""),IF(ISNUMBER(E124),E124,DATEVALUE(E124))-IF(ISNUMBER(D124),D124,DATEVALUE(D124)),"")</f>
        <v/>
      </c>
    </row>
    <row r="125">
      <c r="F125" s="16">
        <f>IF(AND(D125&lt;&gt;"",E125&lt;&gt;""),IF(ISNUMBER(E125),E125,DATEVALUE(E125))-IF(ISNUMBER(D125),D125,DATEVALUE(D125)),"")</f>
        <v/>
      </c>
    </row>
    <row r="126">
      <c r="F126" s="16">
        <f>IF(AND(D126&lt;&gt;"",E126&lt;&gt;""),IF(ISNUMBER(E126),E126,DATEVALUE(E126))-IF(ISNUMBER(D126),D126,DATEVALUE(D126)),"")</f>
        <v/>
      </c>
    </row>
    <row r="127">
      <c r="F127" s="16">
        <f>IF(AND(D127&lt;&gt;"",E127&lt;&gt;""),IF(ISNUMBER(E127),E127,DATEVALUE(E127))-IF(ISNUMBER(D127),D127,DATEVALUE(D127)),"")</f>
        <v/>
      </c>
    </row>
    <row r="128">
      <c r="F128" s="16">
        <f>IF(AND(D128&lt;&gt;"",E128&lt;&gt;""),IF(ISNUMBER(E128),E128,DATEVALUE(E128))-IF(ISNUMBER(D128),D128,DATEVALUE(D128)),"")</f>
        <v/>
      </c>
    </row>
    <row r="129">
      <c r="F129" s="16">
        <f>IF(AND(D129&lt;&gt;"",E129&lt;&gt;""),IF(ISNUMBER(E129),E129,DATEVALUE(E129))-IF(ISNUMBER(D129),D129,DATEVALUE(D129)),"")</f>
        <v/>
      </c>
    </row>
    <row r="130">
      <c r="F130" s="16">
        <f>IF(AND(D130&lt;&gt;"",E130&lt;&gt;""),IF(ISNUMBER(E130),E130,DATEVALUE(E130))-IF(ISNUMBER(D130),D130,DATEVALUE(D130)),"")</f>
        <v/>
      </c>
    </row>
    <row r="131">
      <c r="F131" s="16">
        <f>IF(AND(D131&lt;&gt;"",E131&lt;&gt;""),IF(ISNUMBER(E131),E131,DATEVALUE(E131))-IF(ISNUMBER(D131),D131,DATEVALUE(D131)),"")</f>
        <v/>
      </c>
    </row>
    <row r="132">
      <c r="F132" s="16">
        <f>IF(AND(D132&lt;&gt;"",E132&lt;&gt;""),IF(ISNUMBER(E132),E132,DATEVALUE(E132))-IF(ISNUMBER(D132),D132,DATEVALUE(D132)),"")</f>
        <v/>
      </c>
    </row>
    <row r="133">
      <c r="F133" s="16">
        <f>IF(AND(D133&lt;&gt;"",E133&lt;&gt;""),IF(ISNUMBER(E133),E133,DATEVALUE(E133))-IF(ISNUMBER(D133),D133,DATEVALUE(D133)),"")</f>
        <v/>
      </c>
    </row>
    <row r="134">
      <c r="F134" s="16">
        <f>IF(AND(D134&lt;&gt;"",E134&lt;&gt;""),IF(ISNUMBER(E134),E134,DATEVALUE(E134))-IF(ISNUMBER(D134),D134,DATEVALUE(D134)),"")</f>
        <v/>
      </c>
    </row>
    <row r="135">
      <c r="F135" s="16">
        <f>IF(AND(D135&lt;&gt;"",E135&lt;&gt;""),IF(ISNUMBER(E135),E135,DATEVALUE(E135))-IF(ISNUMBER(D135),D135,DATEVALUE(D135)),"")</f>
        <v/>
      </c>
    </row>
    <row r="136">
      <c r="F136" s="16">
        <f>IF(AND(D136&lt;&gt;"",E136&lt;&gt;""),IF(ISNUMBER(E136),E136,DATEVALUE(E136))-IF(ISNUMBER(D136),D136,DATEVALUE(D136)),"")</f>
        <v/>
      </c>
    </row>
    <row r="137">
      <c r="F137" s="16">
        <f>IF(AND(D137&lt;&gt;"",E137&lt;&gt;""),IF(ISNUMBER(E137),E137,DATEVALUE(E137))-IF(ISNUMBER(D137),D137,DATEVALUE(D137)),"")</f>
        <v/>
      </c>
    </row>
    <row r="138">
      <c r="F138" s="16">
        <f>IF(AND(D138&lt;&gt;"",E138&lt;&gt;""),IF(ISNUMBER(E138),E138,DATEVALUE(E138))-IF(ISNUMBER(D138),D138,DATEVALUE(D138)),"")</f>
        <v/>
      </c>
    </row>
    <row r="139">
      <c r="F139" s="16">
        <f>IF(AND(D139&lt;&gt;"",E139&lt;&gt;""),IF(ISNUMBER(E139),E139,DATEVALUE(E139))-IF(ISNUMBER(D139),D139,DATEVALUE(D139)),"")</f>
        <v/>
      </c>
    </row>
    <row r="140">
      <c r="F140" s="16">
        <f>IF(AND(D140&lt;&gt;"",E140&lt;&gt;""),IF(ISNUMBER(E140),E140,DATEVALUE(E140))-IF(ISNUMBER(D140),D140,DATEVALUE(D140)),"")</f>
        <v/>
      </c>
    </row>
    <row r="141">
      <c r="F141" s="16">
        <f>IF(AND(D141&lt;&gt;"",E141&lt;&gt;""),IF(ISNUMBER(E141),E141,DATEVALUE(E141))-IF(ISNUMBER(D141),D141,DATEVALUE(D141)),"")</f>
        <v/>
      </c>
    </row>
    <row r="142">
      <c r="F142" s="16">
        <f>IF(AND(D142&lt;&gt;"",E142&lt;&gt;""),IF(ISNUMBER(E142),E142,DATEVALUE(E142))-IF(ISNUMBER(D142),D142,DATEVALUE(D142)),"")</f>
        <v/>
      </c>
    </row>
    <row r="143">
      <c r="F143" s="16">
        <f>IF(AND(D143&lt;&gt;"",E143&lt;&gt;""),IF(ISNUMBER(E143),E143,DATEVALUE(E143))-IF(ISNUMBER(D143),D143,DATEVALUE(D143)),"")</f>
        <v/>
      </c>
    </row>
    <row r="144">
      <c r="F144" s="16">
        <f>IF(AND(D144&lt;&gt;"",E144&lt;&gt;""),IF(ISNUMBER(E144),E144,DATEVALUE(E144))-IF(ISNUMBER(D144),D144,DATEVALUE(D144)),"")</f>
        <v/>
      </c>
    </row>
    <row r="145">
      <c r="F145" s="16">
        <f>IF(AND(D145&lt;&gt;"",E145&lt;&gt;""),IF(ISNUMBER(E145),E145,DATEVALUE(E145))-IF(ISNUMBER(D145),D145,DATEVALUE(D145)),"")</f>
        <v/>
      </c>
    </row>
    <row r="146">
      <c r="F146" s="16">
        <f>IF(AND(D146&lt;&gt;"",E146&lt;&gt;""),IF(ISNUMBER(E146),E146,DATEVALUE(E146))-IF(ISNUMBER(D146),D146,DATEVALUE(D146)),"")</f>
        <v/>
      </c>
    </row>
    <row r="147">
      <c r="F147" s="16">
        <f>IF(AND(D147&lt;&gt;"",E147&lt;&gt;""),IF(ISNUMBER(E147),E147,DATEVALUE(E147))-IF(ISNUMBER(D147),D147,DATEVALUE(D147)),"")</f>
        <v/>
      </c>
    </row>
    <row r="148">
      <c r="F148" s="16">
        <f>IF(AND(D148&lt;&gt;"",E148&lt;&gt;""),IF(ISNUMBER(E148),E148,DATEVALUE(E148))-IF(ISNUMBER(D148),D148,DATEVALUE(D148)),"")</f>
        <v/>
      </c>
    </row>
    <row r="149">
      <c r="F149" s="16">
        <f>IF(AND(D149&lt;&gt;"",E149&lt;&gt;""),IF(ISNUMBER(E149),E149,DATEVALUE(E149))-IF(ISNUMBER(D149),D149,DATEVALUE(D149)),"")</f>
        <v/>
      </c>
    </row>
    <row r="150">
      <c r="F150" s="16">
        <f>IF(AND(D150&lt;&gt;"",E150&lt;&gt;""),IF(ISNUMBER(E150),E150,DATEVALUE(E150))-IF(ISNUMBER(D150),D150,DATEVALUE(D150)),"")</f>
        <v/>
      </c>
    </row>
    <row r="151">
      <c r="F151" s="16">
        <f>IF(AND(D151&lt;&gt;"",E151&lt;&gt;""),IF(ISNUMBER(E151),E151,DATEVALUE(E151))-IF(ISNUMBER(D151),D151,DATEVALUE(D151)),"")</f>
        <v/>
      </c>
    </row>
    <row r="152">
      <c r="F152" s="16">
        <f>IF(AND(D152&lt;&gt;"",E152&lt;&gt;""),IF(ISNUMBER(E152),E152,DATEVALUE(E152))-IF(ISNUMBER(D152),D152,DATEVALUE(D152)),"")</f>
        <v/>
      </c>
    </row>
    <row r="153">
      <c r="F153" s="16">
        <f>IF(AND(D153&lt;&gt;"",E153&lt;&gt;""),IF(ISNUMBER(E153),E153,DATEVALUE(E153))-IF(ISNUMBER(D153),D153,DATEVALUE(D153)),"")</f>
        <v/>
      </c>
    </row>
    <row r="154">
      <c r="F154" s="16">
        <f>IF(AND(D154&lt;&gt;"",E154&lt;&gt;""),IF(ISNUMBER(E154),E154,DATEVALUE(E154))-IF(ISNUMBER(D154),D154,DATEVALUE(D154)),"")</f>
        <v/>
      </c>
    </row>
    <row r="155">
      <c r="F155" s="16">
        <f>IF(AND(D155&lt;&gt;"",E155&lt;&gt;""),IF(ISNUMBER(E155),E155,DATEVALUE(E155))-IF(ISNUMBER(D155),D155,DATEVALUE(D155)),"")</f>
        <v/>
      </c>
    </row>
    <row r="156">
      <c r="F156" s="16">
        <f>IF(AND(D156&lt;&gt;"",E156&lt;&gt;""),IF(ISNUMBER(E156),E156,DATEVALUE(E156))-IF(ISNUMBER(D156),D156,DATEVALUE(D156)),"")</f>
        <v/>
      </c>
    </row>
    <row r="157">
      <c r="F157" s="16">
        <f>IF(AND(D157&lt;&gt;"",E157&lt;&gt;""),IF(ISNUMBER(E157),E157,DATEVALUE(E157))-IF(ISNUMBER(D157),D157,DATEVALUE(D157)),"")</f>
        <v/>
      </c>
    </row>
    <row r="158">
      <c r="F158" s="16">
        <f>IF(AND(D158&lt;&gt;"",E158&lt;&gt;""),IF(ISNUMBER(E158),E158,DATEVALUE(E158))-IF(ISNUMBER(D158),D158,DATEVALUE(D158)),"")</f>
        <v/>
      </c>
    </row>
    <row r="159">
      <c r="F159" s="16">
        <f>IF(AND(D159&lt;&gt;"",E159&lt;&gt;""),IF(ISNUMBER(E159),E159,DATEVALUE(E159))-IF(ISNUMBER(D159),D159,DATEVALUE(D159)),"")</f>
        <v/>
      </c>
    </row>
    <row r="160">
      <c r="F160" s="16">
        <f>IF(AND(D160&lt;&gt;"",E160&lt;&gt;""),IF(ISNUMBER(E160),E160,DATEVALUE(E160))-IF(ISNUMBER(D160),D160,DATEVALUE(D160)),"")</f>
        <v/>
      </c>
    </row>
    <row r="161">
      <c r="F161" s="16">
        <f>IF(AND(D161&lt;&gt;"",E161&lt;&gt;""),IF(ISNUMBER(E161),E161,DATEVALUE(E161))-IF(ISNUMBER(D161),D161,DATEVALUE(D161)),"")</f>
        <v/>
      </c>
    </row>
    <row r="162">
      <c r="F162" s="16">
        <f>IF(AND(D162&lt;&gt;"",E162&lt;&gt;""),IF(ISNUMBER(E162),E162,DATEVALUE(E162))-IF(ISNUMBER(D162),D162,DATEVALUE(D162)),"")</f>
        <v/>
      </c>
    </row>
    <row r="163">
      <c r="F163" s="16">
        <f>IF(AND(D163&lt;&gt;"",E163&lt;&gt;""),IF(ISNUMBER(E163),E163,DATEVALUE(E163))-IF(ISNUMBER(D163),D163,DATEVALUE(D163)),"")</f>
        <v/>
      </c>
    </row>
    <row r="164">
      <c r="F164" s="16">
        <f>IF(AND(D164&lt;&gt;"",E164&lt;&gt;""),IF(ISNUMBER(E164),E164,DATEVALUE(E164))-IF(ISNUMBER(D164),D164,DATEVALUE(D164)),"")</f>
        <v/>
      </c>
    </row>
    <row r="165">
      <c r="F165" s="16">
        <f>IF(AND(D165&lt;&gt;"",E165&lt;&gt;""),IF(ISNUMBER(E165),E165,DATEVALUE(E165))-IF(ISNUMBER(D165),D165,DATEVALUE(D165)),"")</f>
        <v/>
      </c>
    </row>
    <row r="166">
      <c r="F166" s="16">
        <f>IF(AND(D166&lt;&gt;"",E166&lt;&gt;""),IF(ISNUMBER(E166),E166,DATEVALUE(E166))-IF(ISNUMBER(D166),D166,DATEVALUE(D166)),"")</f>
        <v/>
      </c>
    </row>
    <row r="167">
      <c r="F167" s="16">
        <f>IF(AND(D167&lt;&gt;"",E167&lt;&gt;""),IF(ISNUMBER(E167),E167,DATEVALUE(E167))-IF(ISNUMBER(D167),D167,DATEVALUE(D167)),"")</f>
        <v/>
      </c>
    </row>
    <row r="168">
      <c r="F168" s="16">
        <f>IF(AND(D168&lt;&gt;"",E168&lt;&gt;""),IF(ISNUMBER(E168),E168,DATEVALUE(E168))-IF(ISNUMBER(D168),D168,DATEVALUE(D168)),"")</f>
        <v/>
      </c>
    </row>
    <row r="169">
      <c r="F169" s="16">
        <f>IF(AND(D169&lt;&gt;"",E169&lt;&gt;""),IF(ISNUMBER(E169),E169,DATEVALUE(E169))-IF(ISNUMBER(D169),D169,DATEVALUE(D169)),"")</f>
        <v/>
      </c>
    </row>
    <row r="170">
      <c r="F170" s="16">
        <f>IF(AND(D170&lt;&gt;"",E170&lt;&gt;""),IF(ISNUMBER(E170),E170,DATEVALUE(E170))-IF(ISNUMBER(D170),D170,DATEVALUE(D170)),"")</f>
        <v/>
      </c>
    </row>
    <row r="171">
      <c r="F171" s="16">
        <f>IF(AND(D171&lt;&gt;"",E171&lt;&gt;""),IF(ISNUMBER(E171),E171,DATEVALUE(E171))-IF(ISNUMBER(D171),D171,DATEVALUE(D171)),"")</f>
        <v/>
      </c>
    </row>
    <row r="172">
      <c r="F172" s="16">
        <f>IF(AND(D172&lt;&gt;"",E172&lt;&gt;""),IF(ISNUMBER(E172),E172,DATEVALUE(E172))-IF(ISNUMBER(D172),D172,DATEVALUE(D172)),"")</f>
        <v/>
      </c>
    </row>
    <row r="173">
      <c r="F173" s="16">
        <f>IF(AND(D173&lt;&gt;"",E173&lt;&gt;""),IF(ISNUMBER(E173),E173,DATEVALUE(E173))-IF(ISNUMBER(D173),D173,DATEVALUE(D173)),"")</f>
        <v/>
      </c>
    </row>
    <row r="174">
      <c r="F174" s="16">
        <f>IF(AND(D174&lt;&gt;"",E174&lt;&gt;""),IF(ISNUMBER(E174),E174,DATEVALUE(E174))-IF(ISNUMBER(D174),D174,DATEVALUE(D174)),"")</f>
        <v/>
      </c>
    </row>
    <row r="175">
      <c r="F175" s="16">
        <f>IF(AND(D175&lt;&gt;"",E175&lt;&gt;""),IF(ISNUMBER(E175),E175,DATEVALUE(E175))-IF(ISNUMBER(D175),D175,DATEVALUE(D175)),"")</f>
        <v/>
      </c>
    </row>
    <row r="176">
      <c r="F176" s="16">
        <f>IF(AND(D176&lt;&gt;"",E176&lt;&gt;""),IF(ISNUMBER(E176),E176,DATEVALUE(E176))-IF(ISNUMBER(D176),D176,DATEVALUE(D176)),"")</f>
        <v/>
      </c>
    </row>
    <row r="177">
      <c r="F177" s="16">
        <f>IF(AND(D177&lt;&gt;"",E177&lt;&gt;""),IF(ISNUMBER(E177),E177,DATEVALUE(E177))-IF(ISNUMBER(D177),D177,DATEVALUE(D177)),"")</f>
        <v/>
      </c>
    </row>
    <row r="178">
      <c r="F178" s="16">
        <f>IF(AND(D178&lt;&gt;"",E178&lt;&gt;""),IF(ISNUMBER(E178),E178,DATEVALUE(E178))-IF(ISNUMBER(D178),D178,DATEVALUE(D178)),"")</f>
        <v/>
      </c>
    </row>
    <row r="179">
      <c r="F179" s="16">
        <f>IF(AND(D179&lt;&gt;"",E179&lt;&gt;""),IF(ISNUMBER(E179),E179,DATEVALUE(E179))-IF(ISNUMBER(D179),D179,DATEVALUE(D179)),"")</f>
        <v/>
      </c>
    </row>
    <row r="180">
      <c r="F180" s="16">
        <f>IF(AND(D180&lt;&gt;"",E180&lt;&gt;""),IF(ISNUMBER(E180),E180,DATEVALUE(E180))-IF(ISNUMBER(D180),D180,DATEVALUE(D180)),"")</f>
        <v/>
      </c>
    </row>
    <row r="181">
      <c r="F181" s="16">
        <f>IF(AND(D181&lt;&gt;"",E181&lt;&gt;""),IF(ISNUMBER(E181),E181,DATEVALUE(E181))-IF(ISNUMBER(D181),D181,DATEVALUE(D181)),"")</f>
        <v/>
      </c>
    </row>
    <row r="182">
      <c r="F182" s="16">
        <f>IF(AND(D182&lt;&gt;"",E182&lt;&gt;""),IF(ISNUMBER(E182),E182,DATEVALUE(E182))-IF(ISNUMBER(D182),D182,DATEVALUE(D182)),"")</f>
        <v/>
      </c>
    </row>
    <row r="183">
      <c r="F183" s="16">
        <f>IF(AND(D183&lt;&gt;"",E183&lt;&gt;""),IF(ISNUMBER(E183),E183,DATEVALUE(E183))-IF(ISNUMBER(D183),D183,DATEVALUE(D183)),"")</f>
        <v/>
      </c>
    </row>
    <row r="184">
      <c r="F184" s="16">
        <f>IF(AND(D184&lt;&gt;"",E184&lt;&gt;""),IF(ISNUMBER(E184),E184,DATEVALUE(E184))-IF(ISNUMBER(D184),D184,DATEVALUE(D184)),"")</f>
        <v/>
      </c>
    </row>
    <row r="185">
      <c r="F185" s="16">
        <f>IF(AND(D185&lt;&gt;"",E185&lt;&gt;""),IF(ISNUMBER(E185),E185,DATEVALUE(E185))-IF(ISNUMBER(D185),D185,DATEVALUE(D185)),"")</f>
        <v/>
      </c>
    </row>
    <row r="186">
      <c r="F186" s="16">
        <f>IF(AND(D186&lt;&gt;"",E186&lt;&gt;""),IF(ISNUMBER(E186),E186,DATEVALUE(E186))-IF(ISNUMBER(D186),D186,DATEVALUE(D186)),"")</f>
        <v/>
      </c>
    </row>
    <row r="187">
      <c r="F187" s="16">
        <f>IF(AND(D187&lt;&gt;"",E187&lt;&gt;""),IF(ISNUMBER(E187),E187,DATEVALUE(E187))-IF(ISNUMBER(D187),D187,DATEVALUE(D187)),"")</f>
        <v/>
      </c>
    </row>
    <row r="188">
      <c r="F188" s="16">
        <f>IF(AND(D188&lt;&gt;"",E188&lt;&gt;""),IF(ISNUMBER(E188),E188,DATEVALUE(E188))-IF(ISNUMBER(D188),D188,DATEVALUE(D188)),"")</f>
        <v/>
      </c>
    </row>
    <row r="189">
      <c r="F189" s="16">
        <f>IF(AND(D189&lt;&gt;"",E189&lt;&gt;""),IF(ISNUMBER(E189),E189,DATEVALUE(E189))-IF(ISNUMBER(D189),D189,DATEVALUE(D189)),"")</f>
        <v/>
      </c>
    </row>
    <row r="190">
      <c r="F190" s="16">
        <f>IF(AND(D190&lt;&gt;"",E190&lt;&gt;""),IF(ISNUMBER(E190),E190,DATEVALUE(E190))-IF(ISNUMBER(D190),D190,DATEVALUE(D190)),"")</f>
        <v/>
      </c>
    </row>
    <row r="191">
      <c r="F191" s="16">
        <f>IF(AND(D191&lt;&gt;"",E191&lt;&gt;""),IF(ISNUMBER(E191),E191,DATEVALUE(E191))-IF(ISNUMBER(D191),D191,DATEVALUE(D191)),"")</f>
        <v/>
      </c>
    </row>
    <row r="192">
      <c r="F192" s="16">
        <f>IF(AND(D192&lt;&gt;"",E192&lt;&gt;""),IF(ISNUMBER(E192),E192,DATEVALUE(E192))-IF(ISNUMBER(D192),D192,DATEVALUE(D192)),"")</f>
        <v/>
      </c>
    </row>
    <row r="193">
      <c r="F193" s="16">
        <f>IF(AND(D193&lt;&gt;"",E193&lt;&gt;""),IF(ISNUMBER(E193),E193,DATEVALUE(E193))-IF(ISNUMBER(D193),D193,DATEVALUE(D193)),"")</f>
        <v/>
      </c>
    </row>
    <row r="194">
      <c r="F194" s="16">
        <f>IF(AND(D194&lt;&gt;"",E194&lt;&gt;""),IF(ISNUMBER(E194),E194,DATEVALUE(E194))-IF(ISNUMBER(D194),D194,DATEVALUE(D194)),"")</f>
        <v/>
      </c>
    </row>
    <row r="195">
      <c r="F195" s="16">
        <f>IF(AND(D195&lt;&gt;"",E195&lt;&gt;""),IF(ISNUMBER(E195),E195,DATEVALUE(E195))-IF(ISNUMBER(D195),D195,DATEVALUE(D195)),"")</f>
        <v/>
      </c>
    </row>
    <row r="196">
      <c r="F196" s="16">
        <f>IF(AND(D196&lt;&gt;"",E196&lt;&gt;""),IF(ISNUMBER(E196),E196,DATEVALUE(E196))-IF(ISNUMBER(D196),D196,DATEVALUE(D196)),"")</f>
        <v/>
      </c>
    </row>
    <row r="197">
      <c r="F197" s="16">
        <f>IF(AND(D197&lt;&gt;"",E197&lt;&gt;""),IF(ISNUMBER(E197),E197,DATEVALUE(E197))-IF(ISNUMBER(D197),D197,DATEVALUE(D197)),"")</f>
        <v/>
      </c>
    </row>
    <row r="198">
      <c r="F198" s="16">
        <f>IF(AND(D198&lt;&gt;"",E198&lt;&gt;""),IF(ISNUMBER(E198),E198,DATEVALUE(E198))-IF(ISNUMBER(D198),D198,DATEVALUE(D198)),"")</f>
        <v/>
      </c>
    </row>
    <row r="199">
      <c r="F199" s="16">
        <f>IF(AND(D199&lt;&gt;"",E199&lt;&gt;""),IF(ISNUMBER(E199),E199,DATEVALUE(E199))-IF(ISNUMBER(D199),D199,DATEVALUE(D199)),"")</f>
        <v/>
      </c>
    </row>
    <row r="200">
      <c r="F200" s="16">
        <f>IF(AND(D200&lt;&gt;"",E200&lt;&gt;""),IF(ISNUMBER(E200),E200,DATEVALUE(E200))-IF(ISNUMBER(D200),D200,DATEVALUE(D200)),"")</f>
        <v/>
      </c>
    </row>
    <row r="201">
      <c r="F201" s="16">
        <f>IF(AND(D201&lt;&gt;"",E201&lt;&gt;""),IF(ISNUMBER(E201),E201,DATEVALUE(E201))-IF(ISNUMBER(D201),D201,DATEVALUE(D201)),"")</f>
        <v/>
      </c>
    </row>
    <row r="202">
      <c r="F202" s="16">
        <f>IF(AND(D202&lt;&gt;"",E202&lt;&gt;""),IF(ISNUMBER(E202),E202,DATEVALUE(E202))-IF(ISNUMBER(D202),D202,DATEVALUE(D202)),"")</f>
        <v/>
      </c>
    </row>
    <row r="203">
      <c r="F203" s="16">
        <f>IF(AND(D203&lt;&gt;"",E203&lt;&gt;""),IF(ISNUMBER(E203),E203,DATEVALUE(E203))-IF(ISNUMBER(D203),D203,DATEVALUE(D203)),"")</f>
        <v/>
      </c>
    </row>
    <row r="204">
      <c r="F204" s="16">
        <f>IF(AND(D204&lt;&gt;"",E204&lt;&gt;""),IF(ISNUMBER(E204),E204,DATEVALUE(E204))-IF(ISNUMBER(D204),D204,DATEVALUE(D204)),"")</f>
        <v/>
      </c>
    </row>
    <row r="205">
      <c r="F205" s="16">
        <f>IF(AND(D205&lt;&gt;"",E205&lt;&gt;""),IF(ISNUMBER(E205),E205,DATEVALUE(E205))-IF(ISNUMBER(D205),D205,DATEVALUE(D205)),"")</f>
        <v/>
      </c>
    </row>
    <row r="206">
      <c r="F206" s="16">
        <f>IF(AND(D206&lt;&gt;"",E206&lt;&gt;""),IF(ISNUMBER(E206),E206,DATEVALUE(E206))-IF(ISNUMBER(D206),D206,DATEVALUE(D206)),"")</f>
        <v/>
      </c>
    </row>
    <row r="207">
      <c r="F207" s="16">
        <f>IF(AND(D207&lt;&gt;"",E207&lt;&gt;""),IF(ISNUMBER(E207),E207,DATEVALUE(E207))-IF(ISNUMBER(D207),D207,DATEVALUE(D207)),"")</f>
        <v/>
      </c>
    </row>
    <row r="208">
      <c r="F208" s="16">
        <f>IF(AND(D208&lt;&gt;"",E208&lt;&gt;""),IF(ISNUMBER(E208),E208,DATEVALUE(E208))-IF(ISNUMBER(D208),D208,DATEVALUE(D208)),"")</f>
        <v/>
      </c>
    </row>
    <row r="209">
      <c r="F209" s="16">
        <f>IF(AND(D209&lt;&gt;"",E209&lt;&gt;""),IF(ISNUMBER(E209),E209,DATEVALUE(E209))-IF(ISNUMBER(D209),D209,DATEVALUE(D209)),"")</f>
        <v/>
      </c>
    </row>
    <row r="210">
      <c r="F210" s="16">
        <f>IF(AND(D210&lt;&gt;"",E210&lt;&gt;""),IF(ISNUMBER(E210),E210,DATEVALUE(E210))-IF(ISNUMBER(D210),D210,DATEVALUE(D210)),"")</f>
        <v/>
      </c>
    </row>
    <row r="211">
      <c r="F211" s="16">
        <f>IF(AND(D211&lt;&gt;"",E211&lt;&gt;""),IF(ISNUMBER(E211),E211,DATEVALUE(E211))-IF(ISNUMBER(D211),D211,DATEVALUE(D211)),"")</f>
        <v/>
      </c>
    </row>
    <row r="212">
      <c r="F212" s="16">
        <f>IF(AND(D212&lt;&gt;"",E212&lt;&gt;""),IF(ISNUMBER(E212),E212,DATEVALUE(E212))-IF(ISNUMBER(D212),D212,DATEVALUE(D212)),"")</f>
        <v/>
      </c>
    </row>
    <row r="213">
      <c r="F213" s="16">
        <f>IF(AND(D213&lt;&gt;"",E213&lt;&gt;""),IF(ISNUMBER(E213),E213,DATEVALUE(E213))-IF(ISNUMBER(D213),D213,DATEVALUE(D213)),"")</f>
        <v/>
      </c>
    </row>
    <row r="214">
      <c r="F214" s="16">
        <f>IF(AND(D214&lt;&gt;"",E214&lt;&gt;""),IF(ISNUMBER(E214),E214,DATEVALUE(E214))-IF(ISNUMBER(D214),D214,DATEVALUE(D214)),"")</f>
        <v/>
      </c>
    </row>
    <row r="215">
      <c r="F215" s="16">
        <f>IF(AND(D215&lt;&gt;"",E215&lt;&gt;""),IF(ISNUMBER(E215),E215,DATEVALUE(E215))-IF(ISNUMBER(D215),D215,DATEVALUE(D215)),"")</f>
        <v/>
      </c>
    </row>
    <row r="216">
      <c r="F216" s="16">
        <f>IF(AND(D216&lt;&gt;"",E216&lt;&gt;""),IF(ISNUMBER(E216),E216,DATEVALUE(E216))-IF(ISNUMBER(D216),D216,DATEVALUE(D216)),"")</f>
        <v/>
      </c>
    </row>
    <row r="217">
      <c r="F217" s="16">
        <f>IF(AND(D217&lt;&gt;"",E217&lt;&gt;""),IF(ISNUMBER(E217),E217,DATEVALUE(E217))-IF(ISNUMBER(D217),D217,DATEVALUE(D217)),"")</f>
        <v/>
      </c>
    </row>
    <row r="218">
      <c r="F218" s="16">
        <f>IF(AND(D218&lt;&gt;"",E218&lt;&gt;""),IF(ISNUMBER(E218),E218,DATEVALUE(E218))-IF(ISNUMBER(D218),D218,DATEVALUE(D218)),"")</f>
        <v/>
      </c>
    </row>
    <row r="219">
      <c r="F219" s="16">
        <f>IF(AND(D219&lt;&gt;"",E219&lt;&gt;""),IF(ISNUMBER(E219),E219,DATEVALUE(E219))-IF(ISNUMBER(D219),D219,DATEVALUE(D219)),"")</f>
        <v/>
      </c>
    </row>
    <row r="220">
      <c r="F220" s="16">
        <f>IF(AND(D220&lt;&gt;"",E220&lt;&gt;""),IF(ISNUMBER(E220),E220,DATEVALUE(E220))-IF(ISNUMBER(D220),D220,DATEVALUE(D220)),"")</f>
        <v/>
      </c>
    </row>
    <row r="221">
      <c r="F221" s="16">
        <f>IF(AND(D221&lt;&gt;"",E221&lt;&gt;""),IF(ISNUMBER(E221),E221,DATEVALUE(E221))-IF(ISNUMBER(D221),D221,DATEVALUE(D221)),"")</f>
        <v/>
      </c>
    </row>
    <row r="222">
      <c r="F222" s="16">
        <f>IF(AND(D222&lt;&gt;"",E222&lt;&gt;""),IF(ISNUMBER(E222),E222,DATEVALUE(E222))-IF(ISNUMBER(D222),D222,DATEVALUE(D222)),"")</f>
        <v/>
      </c>
    </row>
    <row r="223">
      <c r="F223" s="16">
        <f>IF(AND(D223&lt;&gt;"",E223&lt;&gt;""),IF(ISNUMBER(E223),E223,DATEVALUE(E223))-IF(ISNUMBER(D223),D223,DATEVALUE(D223)),"")</f>
        <v/>
      </c>
    </row>
    <row r="224">
      <c r="F224" s="16">
        <f>IF(AND(D224&lt;&gt;"",E224&lt;&gt;""),IF(ISNUMBER(E224),E224,DATEVALUE(E224))-IF(ISNUMBER(D224),D224,DATEVALUE(D224)),"")</f>
        <v/>
      </c>
    </row>
    <row r="225">
      <c r="F225" s="16">
        <f>IF(AND(D225&lt;&gt;"",E225&lt;&gt;""),IF(ISNUMBER(E225),E225,DATEVALUE(E225))-IF(ISNUMBER(D225),D225,DATEVALUE(D225)),"")</f>
        <v/>
      </c>
    </row>
    <row r="226">
      <c r="F226" s="16">
        <f>IF(AND(D226&lt;&gt;"",E226&lt;&gt;""),IF(ISNUMBER(E226),E226,DATEVALUE(E226))-IF(ISNUMBER(D226),D226,DATEVALUE(D226)),"")</f>
        <v/>
      </c>
    </row>
    <row r="227">
      <c r="F227" s="16">
        <f>IF(AND(D227&lt;&gt;"",E227&lt;&gt;""),IF(ISNUMBER(E227),E227,DATEVALUE(E227))-IF(ISNUMBER(D227),D227,DATEVALUE(D227)),"")</f>
        <v/>
      </c>
    </row>
    <row r="228">
      <c r="F228" s="16">
        <f>IF(AND(D228&lt;&gt;"",E228&lt;&gt;""),IF(ISNUMBER(E228),E228,DATEVALUE(E228))-IF(ISNUMBER(D228),D228,DATEVALUE(D228)),"")</f>
        <v/>
      </c>
    </row>
    <row r="229">
      <c r="F229" s="16">
        <f>IF(AND(D229&lt;&gt;"",E229&lt;&gt;""),IF(ISNUMBER(E229),E229,DATEVALUE(E229))-IF(ISNUMBER(D229),D229,DATEVALUE(D229)),"")</f>
        <v/>
      </c>
    </row>
    <row r="230">
      <c r="F230" s="16">
        <f>IF(AND(D230&lt;&gt;"",E230&lt;&gt;""),IF(ISNUMBER(E230),E230,DATEVALUE(E230))-IF(ISNUMBER(D230),D230,DATEVALUE(D230)),"")</f>
        <v/>
      </c>
    </row>
    <row r="231">
      <c r="F231" s="16">
        <f>IF(AND(D231&lt;&gt;"",E231&lt;&gt;""),IF(ISNUMBER(E231),E231,DATEVALUE(E231))-IF(ISNUMBER(D231),D231,DATEVALUE(D231)),"")</f>
        <v/>
      </c>
    </row>
    <row r="232">
      <c r="F232" s="16">
        <f>IF(AND(D232&lt;&gt;"",E232&lt;&gt;""),IF(ISNUMBER(E232),E232,DATEVALUE(E232))-IF(ISNUMBER(D232),D232,DATEVALUE(D232)),"")</f>
        <v/>
      </c>
    </row>
    <row r="233">
      <c r="F233" s="16">
        <f>IF(AND(D233&lt;&gt;"",E233&lt;&gt;""),IF(ISNUMBER(E233),E233,DATEVALUE(E233))-IF(ISNUMBER(D233),D233,DATEVALUE(D233)),"")</f>
        <v/>
      </c>
    </row>
    <row r="234">
      <c r="F234" s="16">
        <f>IF(AND(D234&lt;&gt;"",E234&lt;&gt;""),IF(ISNUMBER(E234),E234,DATEVALUE(E234))-IF(ISNUMBER(D234),D234,DATEVALUE(D234)),"")</f>
        <v/>
      </c>
    </row>
    <row r="235">
      <c r="F235" s="16">
        <f>IF(AND(D235&lt;&gt;"",E235&lt;&gt;""),IF(ISNUMBER(E235),E235,DATEVALUE(E235))-IF(ISNUMBER(D235),D235,DATEVALUE(D235)),"")</f>
        <v/>
      </c>
    </row>
    <row r="236">
      <c r="F236" s="16">
        <f>IF(AND(D236&lt;&gt;"",E236&lt;&gt;""),IF(ISNUMBER(E236),E236,DATEVALUE(E236))-IF(ISNUMBER(D236),D236,DATEVALUE(D236)),"")</f>
        <v/>
      </c>
    </row>
    <row r="237">
      <c r="F237" s="16">
        <f>IF(AND(D237&lt;&gt;"",E237&lt;&gt;""),IF(ISNUMBER(E237),E237,DATEVALUE(E237))-IF(ISNUMBER(D237),D237,DATEVALUE(D237)),"")</f>
        <v/>
      </c>
    </row>
    <row r="238">
      <c r="F238" s="16">
        <f>IF(AND(D238&lt;&gt;"",E238&lt;&gt;""),IF(ISNUMBER(E238),E238,DATEVALUE(E238))-IF(ISNUMBER(D238),D238,DATEVALUE(D238)),"")</f>
        <v/>
      </c>
    </row>
    <row r="239">
      <c r="F239" s="16">
        <f>IF(AND(D239&lt;&gt;"",E239&lt;&gt;""),IF(ISNUMBER(E239),E239,DATEVALUE(E239))-IF(ISNUMBER(D239),D239,DATEVALUE(D239)),"")</f>
        <v/>
      </c>
    </row>
    <row r="240">
      <c r="F240" s="16">
        <f>IF(AND(D240&lt;&gt;"",E240&lt;&gt;""),IF(ISNUMBER(E240),E240,DATEVALUE(E240))-IF(ISNUMBER(D240),D240,DATEVALUE(D240)),"")</f>
        <v/>
      </c>
    </row>
    <row r="241">
      <c r="F241" s="16">
        <f>IF(AND(D241&lt;&gt;"",E241&lt;&gt;""),IF(ISNUMBER(E241),E241,DATEVALUE(E241))-IF(ISNUMBER(D241),D241,DATEVALUE(D241)),"")</f>
        <v/>
      </c>
    </row>
    <row r="242">
      <c r="F242" s="16">
        <f>IF(AND(D242&lt;&gt;"",E242&lt;&gt;""),IF(ISNUMBER(E242),E242,DATEVALUE(E242))-IF(ISNUMBER(D242),D242,DATEVALUE(D242)),"")</f>
        <v/>
      </c>
    </row>
    <row r="243">
      <c r="F243" s="16">
        <f>IF(AND(D243&lt;&gt;"",E243&lt;&gt;""),IF(ISNUMBER(E243),E243,DATEVALUE(E243))-IF(ISNUMBER(D243),D243,DATEVALUE(D243)),"")</f>
        <v/>
      </c>
    </row>
    <row r="244">
      <c r="F244" s="16">
        <f>IF(AND(D244&lt;&gt;"",E244&lt;&gt;""),IF(ISNUMBER(E244),E244,DATEVALUE(E244))-IF(ISNUMBER(D244),D244,DATEVALUE(D244)),"")</f>
        <v/>
      </c>
    </row>
    <row r="245">
      <c r="F245" s="16">
        <f>IF(AND(D245&lt;&gt;"",E245&lt;&gt;""),IF(ISNUMBER(E245),E245,DATEVALUE(E245))-IF(ISNUMBER(D245),D245,DATEVALUE(D245)),"")</f>
        <v/>
      </c>
    </row>
    <row r="246">
      <c r="F246" s="16">
        <f>IF(AND(D246&lt;&gt;"",E246&lt;&gt;""),IF(ISNUMBER(E246),E246,DATEVALUE(E246))-IF(ISNUMBER(D246),D246,DATEVALUE(D246)),"")</f>
        <v/>
      </c>
    </row>
    <row r="247">
      <c r="F247" s="16">
        <f>IF(AND(D247&lt;&gt;"",E247&lt;&gt;""),IF(ISNUMBER(E247),E247,DATEVALUE(E247))-IF(ISNUMBER(D247),D247,DATEVALUE(D247)),"")</f>
        <v/>
      </c>
    </row>
    <row r="248">
      <c r="F248" s="16">
        <f>IF(AND(D248&lt;&gt;"",E248&lt;&gt;""),IF(ISNUMBER(E248),E248,DATEVALUE(E248))-IF(ISNUMBER(D248),D248,DATEVALUE(D248)),"")</f>
        <v/>
      </c>
    </row>
    <row r="249">
      <c r="F249" s="16">
        <f>IF(AND(D249&lt;&gt;"",E249&lt;&gt;""),IF(ISNUMBER(E249),E249,DATEVALUE(E249))-IF(ISNUMBER(D249),D249,DATEVALUE(D249)),"")</f>
        <v/>
      </c>
    </row>
    <row r="250">
      <c r="F250" s="16">
        <f>IF(AND(D250&lt;&gt;"",E250&lt;&gt;""),IF(ISNUMBER(E250),E250,DATEVALUE(E250))-IF(ISNUMBER(D250),D250,DATEVALUE(D250)),"")</f>
        <v/>
      </c>
    </row>
    <row r="251">
      <c r="F251" s="16">
        <f>IF(AND(D251&lt;&gt;"",E251&lt;&gt;""),IF(ISNUMBER(E251),E251,DATEVALUE(E251))-IF(ISNUMBER(D251),D251,DATEVALUE(D251)),"")</f>
        <v/>
      </c>
    </row>
    <row r="252">
      <c r="F252" s="16">
        <f>IF(AND(D252&lt;&gt;"",E252&lt;&gt;""),IF(ISNUMBER(E252),E252,DATEVALUE(E252))-IF(ISNUMBER(D252),D252,DATEVALUE(D252)),"")</f>
        <v/>
      </c>
    </row>
    <row r="253">
      <c r="F253" s="16">
        <f>IF(AND(D253&lt;&gt;"",E253&lt;&gt;""),IF(ISNUMBER(E253),E253,DATEVALUE(E253))-IF(ISNUMBER(D253),D253,DATEVALUE(D253)),"")</f>
        <v/>
      </c>
    </row>
    <row r="254">
      <c r="F254" s="16">
        <f>IF(AND(D254&lt;&gt;"",E254&lt;&gt;""),IF(ISNUMBER(E254),E254,DATEVALUE(E254))-IF(ISNUMBER(D254),D254,DATEVALUE(D254)),"")</f>
        <v/>
      </c>
    </row>
    <row r="255">
      <c r="F255" s="16">
        <f>IF(AND(D255&lt;&gt;"",E255&lt;&gt;""),IF(ISNUMBER(E255),E255,DATEVALUE(E255))-IF(ISNUMBER(D255),D255,DATEVALUE(D255)),"")</f>
        <v/>
      </c>
    </row>
    <row r="256">
      <c r="F256" s="16">
        <f>IF(AND(D256&lt;&gt;"",E256&lt;&gt;""),IF(ISNUMBER(E256),E256,DATEVALUE(E256))-IF(ISNUMBER(D256),D256,DATEVALUE(D256)),"")</f>
        <v/>
      </c>
    </row>
    <row r="257">
      <c r="F257" s="16">
        <f>IF(AND(D257&lt;&gt;"",E257&lt;&gt;""),IF(ISNUMBER(E257),E257,DATEVALUE(E257))-IF(ISNUMBER(D257),D257,DATEVALUE(D257)),"")</f>
        <v/>
      </c>
    </row>
    <row r="258">
      <c r="F258" s="16">
        <f>IF(AND(D258&lt;&gt;"",E258&lt;&gt;""),IF(ISNUMBER(E258),E258,DATEVALUE(E258))-IF(ISNUMBER(D258),D258,DATEVALUE(D258)),"")</f>
        <v/>
      </c>
    </row>
    <row r="259">
      <c r="F259" s="16">
        <f>IF(AND(D259&lt;&gt;"",E259&lt;&gt;""),IF(ISNUMBER(E259),E259,DATEVALUE(E259))-IF(ISNUMBER(D259),D259,DATEVALUE(D259)),"")</f>
        <v/>
      </c>
    </row>
    <row r="260">
      <c r="F260" s="16">
        <f>IF(AND(D260&lt;&gt;"",E260&lt;&gt;""),IF(ISNUMBER(E260),E260,DATEVALUE(E260))-IF(ISNUMBER(D260),D260,DATEVALUE(D260)),"")</f>
        <v/>
      </c>
    </row>
    <row r="261">
      <c r="F261" s="16">
        <f>IF(AND(D261&lt;&gt;"",E261&lt;&gt;""),IF(ISNUMBER(E261),E261,DATEVALUE(E261))-IF(ISNUMBER(D261),D261,DATEVALUE(D261)),"")</f>
        <v/>
      </c>
    </row>
    <row r="262">
      <c r="F262" s="16">
        <f>IF(AND(D262&lt;&gt;"",E262&lt;&gt;""),IF(ISNUMBER(E262),E262,DATEVALUE(E262))-IF(ISNUMBER(D262),D262,DATEVALUE(D262)),"")</f>
        <v/>
      </c>
    </row>
    <row r="263">
      <c r="F263" s="16">
        <f>IF(AND(D263&lt;&gt;"",E263&lt;&gt;""),IF(ISNUMBER(E263),E263,DATEVALUE(E263))-IF(ISNUMBER(D263),D263,DATEVALUE(D263)),"")</f>
        <v/>
      </c>
    </row>
    <row r="264">
      <c r="F264" s="16">
        <f>IF(AND(D264&lt;&gt;"",E264&lt;&gt;""),IF(ISNUMBER(E264),E264,DATEVALUE(E264))-IF(ISNUMBER(D264),D264,DATEVALUE(D264)),"")</f>
        <v/>
      </c>
    </row>
    <row r="265">
      <c r="F265" s="16">
        <f>IF(AND(D265&lt;&gt;"",E265&lt;&gt;""),IF(ISNUMBER(E265),E265,DATEVALUE(E265))-IF(ISNUMBER(D265),D265,DATEVALUE(D265)),"")</f>
        <v/>
      </c>
    </row>
    <row r="266">
      <c r="F266" s="16">
        <f>IF(AND(D266&lt;&gt;"",E266&lt;&gt;""),IF(ISNUMBER(E266),E266,DATEVALUE(E266))-IF(ISNUMBER(D266),D266,DATEVALUE(D266)),"")</f>
        <v/>
      </c>
    </row>
    <row r="267">
      <c r="F267" s="16">
        <f>IF(AND(D267&lt;&gt;"",E267&lt;&gt;""),IF(ISNUMBER(E267),E267,DATEVALUE(E267))-IF(ISNUMBER(D267),D267,DATEVALUE(D267)),"")</f>
        <v/>
      </c>
    </row>
    <row r="268">
      <c r="F268" s="16">
        <f>IF(AND(D268&lt;&gt;"",E268&lt;&gt;""),IF(ISNUMBER(E268),E268,DATEVALUE(E268))-IF(ISNUMBER(D268),D268,DATEVALUE(D268)),"")</f>
        <v/>
      </c>
    </row>
    <row r="269">
      <c r="F269" s="16">
        <f>IF(AND(D269&lt;&gt;"",E269&lt;&gt;""),IF(ISNUMBER(E269),E269,DATEVALUE(E269))-IF(ISNUMBER(D269),D269,DATEVALUE(D269)),"")</f>
        <v/>
      </c>
    </row>
    <row r="270">
      <c r="F270" s="16">
        <f>IF(AND(D270&lt;&gt;"",E270&lt;&gt;""),IF(ISNUMBER(E270),E270,DATEVALUE(E270))-IF(ISNUMBER(D270),D270,DATEVALUE(D270)),"")</f>
        <v/>
      </c>
    </row>
    <row r="271">
      <c r="F271" s="16">
        <f>IF(AND(D271&lt;&gt;"",E271&lt;&gt;""),IF(ISNUMBER(E271),E271,DATEVALUE(E271))-IF(ISNUMBER(D271),D271,DATEVALUE(D271)),"")</f>
        <v/>
      </c>
    </row>
    <row r="272">
      <c r="F272" s="16">
        <f>IF(AND(D272&lt;&gt;"",E272&lt;&gt;""),IF(ISNUMBER(E272),E272,DATEVALUE(E272))-IF(ISNUMBER(D272),D272,DATEVALUE(D272)),"")</f>
        <v/>
      </c>
    </row>
    <row r="273">
      <c r="F273" s="16">
        <f>IF(AND(D273&lt;&gt;"",E273&lt;&gt;""),IF(ISNUMBER(E273),E273,DATEVALUE(E273))-IF(ISNUMBER(D273),D273,DATEVALUE(D273)),"")</f>
        <v/>
      </c>
    </row>
    <row r="274">
      <c r="F274" s="16">
        <f>IF(AND(D274&lt;&gt;"",E274&lt;&gt;""),IF(ISNUMBER(E274),E274,DATEVALUE(E274))-IF(ISNUMBER(D274),D274,DATEVALUE(D274)),"")</f>
        <v/>
      </c>
    </row>
    <row r="275">
      <c r="F275" s="16">
        <f>IF(AND(D275&lt;&gt;"",E275&lt;&gt;""),IF(ISNUMBER(E275),E275,DATEVALUE(E275))-IF(ISNUMBER(D275),D275,DATEVALUE(D275)),"")</f>
        <v/>
      </c>
    </row>
    <row r="276">
      <c r="F276" s="16">
        <f>IF(AND(D276&lt;&gt;"",E276&lt;&gt;""),IF(ISNUMBER(E276),E276,DATEVALUE(E276))-IF(ISNUMBER(D276),D276,DATEVALUE(D276)),"")</f>
        <v/>
      </c>
    </row>
    <row r="277">
      <c r="F277" s="16">
        <f>IF(AND(D277&lt;&gt;"",E277&lt;&gt;""),IF(ISNUMBER(E277),E277,DATEVALUE(E277))-IF(ISNUMBER(D277),D277,DATEVALUE(D277)),"")</f>
        <v/>
      </c>
    </row>
    <row r="278">
      <c r="F278" s="16">
        <f>IF(AND(D278&lt;&gt;"",E278&lt;&gt;""),IF(ISNUMBER(E278),E278,DATEVALUE(E278))-IF(ISNUMBER(D278),D278,DATEVALUE(D278)),"")</f>
        <v/>
      </c>
    </row>
    <row r="279">
      <c r="F279" s="16">
        <f>IF(AND(D279&lt;&gt;"",E279&lt;&gt;""),IF(ISNUMBER(E279),E279,DATEVALUE(E279))-IF(ISNUMBER(D279),D279,DATEVALUE(D279)),"")</f>
        <v/>
      </c>
    </row>
    <row r="280">
      <c r="F280" s="16">
        <f>IF(AND(D280&lt;&gt;"",E280&lt;&gt;""),IF(ISNUMBER(E280),E280,DATEVALUE(E280))-IF(ISNUMBER(D280),D280,DATEVALUE(D280)),"")</f>
        <v/>
      </c>
    </row>
    <row r="281">
      <c r="F281" s="16">
        <f>IF(AND(D281&lt;&gt;"",E281&lt;&gt;""),IF(ISNUMBER(E281),E281,DATEVALUE(E281))-IF(ISNUMBER(D281),D281,DATEVALUE(D281)),"")</f>
        <v/>
      </c>
    </row>
    <row r="282">
      <c r="F282" s="16">
        <f>IF(AND(D282&lt;&gt;"",E282&lt;&gt;""),IF(ISNUMBER(E282),E282,DATEVALUE(E282))-IF(ISNUMBER(D282),D282,DATEVALUE(D282)),"")</f>
        <v/>
      </c>
    </row>
    <row r="283">
      <c r="F283" s="16">
        <f>IF(AND(D283&lt;&gt;"",E283&lt;&gt;""),IF(ISNUMBER(E283),E283,DATEVALUE(E283))-IF(ISNUMBER(D283),D283,DATEVALUE(D283)),"")</f>
        <v/>
      </c>
    </row>
    <row r="284">
      <c r="F284" s="16">
        <f>IF(AND(D284&lt;&gt;"",E284&lt;&gt;""),IF(ISNUMBER(E284),E284,DATEVALUE(E284))-IF(ISNUMBER(D284),D284,DATEVALUE(D284)),"")</f>
        <v/>
      </c>
    </row>
    <row r="285">
      <c r="F285" s="16">
        <f>IF(AND(D285&lt;&gt;"",E285&lt;&gt;""),IF(ISNUMBER(E285),E285,DATEVALUE(E285))-IF(ISNUMBER(D285),D285,DATEVALUE(D285)),"")</f>
        <v/>
      </c>
    </row>
    <row r="286">
      <c r="F286" s="16">
        <f>IF(AND(D286&lt;&gt;"",E286&lt;&gt;""),IF(ISNUMBER(E286),E286,DATEVALUE(E286))-IF(ISNUMBER(D286),D286,DATEVALUE(D286)),"")</f>
        <v/>
      </c>
    </row>
    <row r="287">
      <c r="F287" s="16">
        <f>IF(AND(D287&lt;&gt;"",E287&lt;&gt;""),IF(ISNUMBER(E287),E287,DATEVALUE(E287))-IF(ISNUMBER(D287),D287,DATEVALUE(D287)),"")</f>
        <v/>
      </c>
    </row>
    <row r="288">
      <c r="F288" s="16">
        <f>IF(AND(D288&lt;&gt;"",E288&lt;&gt;""),IF(ISNUMBER(E288),E288,DATEVALUE(E288))-IF(ISNUMBER(D288),D288,DATEVALUE(D288)),"")</f>
        <v/>
      </c>
    </row>
    <row r="289">
      <c r="F289" s="16">
        <f>IF(AND(D289&lt;&gt;"",E289&lt;&gt;""),IF(ISNUMBER(E289),E289,DATEVALUE(E289))-IF(ISNUMBER(D289),D289,DATEVALUE(D289)),"")</f>
        <v/>
      </c>
    </row>
    <row r="290">
      <c r="F290" s="16">
        <f>IF(AND(D290&lt;&gt;"",E290&lt;&gt;""),IF(ISNUMBER(E290),E290,DATEVALUE(E290))-IF(ISNUMBER(D290),D290,DATEVALUE(D290)),"")</f>
        <v/>
      </c>
    </row>
    <row r="291">
      <c r="F291" s="16">
        <f>IF(AND(D291&lt;&gt;"",E291&lt;&gt;""),IF(ISNUMBER(E291),E291,DATEVALUE(E291))-IF(ISNUMBER(D291),D291,DATEVALUE(D291)),"")</f>
        <v/>
      </c>
    </row>
    <row r="292">
      <c r="F292" s="16">
        <f>IF(AND(D292&lt;&gt;"",E292&lt;&gt;""),IF(ISNUMBER(E292),E292,DATEVALUE(E292))-IF(ISNUMBER(D292),D292,DATEVALUE(D292)),"")</f>
        <v/>
      </c>
    </row>
    <row r="293">
      <c r="F293" s="16">
        <f>IF(AND(D293&lt;&gt;"",E293&lt;&gt;""),IF(ISNUMBER(E293),E293,DATEVALUE(E293))-IF(ISNUMBER(D293),D293,DATEVALUE(D293)),"")</f>
        <v/>
      </c>
    </row>
    <row r="294">
      <c r="F294" s="16">
        <f>IF(AND(D294&lt;&gt;"",E294&lt;&gt;""),IF(ISNUMBER(E294),E294,DATEVALUE(E294))-IF(ISNUMBER(D294),D294,DATEVALUE(D294)),"")</f>
        <v/>
      </c>
    </row>
    <row r="295">
      <c r="F295" s="16">
        <f>IF(AND(D295&lt;&gt;"",E295&lt;&gt;""),IF(ISNUMBER(E295),E295,DATEVALUE(E295))-IF(ISNUMBER(D295),D295,DATEVALUE(D295)),"")</f>
        <v/>
      </c>
    </row>
    <row r="296">
      <c r="F296" s="16">
        <f>IF(AND(D296&lt;&gt;"",E296&lt;&gt;""),IF(ISNUMBER(E296),E296,DATEVALUE(E296))-IF(ISNUMBER(D296),D296,DATEVALUE(D296)),"")</f>
        <v/>
      </c>
    </row>
    <row r="297">
      <c r="F297" s="16">
        <f>IF(AND(D297&lt;&gt;"",E297&lt;&gt;""),IF(ISNUMBER(E297),E297,DATEVALUE(E297))-IF(ISNUMBER(D297),D297,DATEVALUE(D297)),"")</f>
        <v/>
      </c>
    </row>
    <row r="298">
      <c r="F298" s="16">
        <f>IF(AND(D298&lt;&gt;"",E298&lt;&gt;""),IF(ISNUMBER(E298),E298,DATEVALUE(E298))-IF(ISNUMBER(D298),D298,DATEVALUE(D298)),"")</f>
        <v/>
      </c>
    </row>
    <row r="299">
      <c r="F299" s="16">
        <f>IF(AND(D299&lt;&gt;"",E299&lt;&gt;""),IF(ISNUMBER(E299),E299,DATEVALUE(E299))-IF(ISNUMBER(D299),D299,DATEVALUE(D299)),"")</f>
        <v/>
      </c>
    </row>
    <row r="300">
      <c r="F300" s="16">
        <f>IF(AND(D300&lt;&gt;"",E300&lt;&gt;""),IF(ISNUMBER(E300),E300,DATEVALUE(E300))-IF(ISNUMBER(D300),D300,DATEVALUE(D300)),"")</f>
        <v/>
      </c>
    </row>
    <row r="301">
      <c r="F301" s="16">
        <f>IF(AND(D301&lt;&gt;"",E301&lt;&gt;""),IF(ISNUMBER(E301),E301,DATEVALUE(E301))-IF(ISNUMBER(D301),D301,DATEVALUE(D301)),"")</f>
        <v/>
      </c>
    </row>
    <row r="302">
      <c r="F302" s="16">
        <f>IF(AND(D302&lt;&gt;"",E302&lt;&gt;""),IF(ISNUMBER(E302),E302,DATEVALUE(E302))-IF(ISNUMBER(D302),D302,DATEVALUE(D302)),"")</f>
        <v/>
      </c>
    </row>
    <row r="303">
      <c r="F303" s="16">
        <f>IF(AND(D303&lt;&gt;"",E303&lt;&gt;""),IF(ISNUMBER(E303),E303,DATEVALUE(E303))-IF(ISNUMBER(D303),D303,DATEVALUE(D303)),"")</f>
        <v/>
      </c>
    </row>
    <row r="304">
      <c r="F304" s="16">
        <f>IF(AND(D304&lt;&gt;"",E304&lt;&gt;""),IF(ISNUMBER(E304),E304,DATEVALUE(E304))-IF(ISNUMBER(D304),D304,DATEVALUE(D304)),"")</f>
        <v/>
      </c>
    </row>
    <row r="305">
      <c r="F305" s="16">
        <f>IF(AND(D305&lt;&gt;"",E305&lt;&gt;""),IF(ISNUMBER(E305),E305,DATEVALUE(E305))-IF(ISNUMBER(D305),D305,DATEVALUE(D305)),"")</f>
        <v/>
      </c>
    </row>
    <row r="306">
      <c r="F306" s="16">
        <f>IF(AND(D306&lt;&gt;"",E306&lt;&gt;""),IF(ISNUMBER(E306),E306,DATEVALUE(E306))-IF(ISNUMBER(D306),D306,DATEVALUE(D306)),"")</f>
        <v/>
      </c>
    </row>
    <row r="307">
      <c r="F307" s="16">
        <f>IF(AND(D307&lt;&gt;"",E307&lt;&gt;""),IF(ISNUMBER(E307),E307,DATEVALUE(E307))-IF(ISNUMBER(D307),D307,DATEVALUE(D307)),"")</f>
        <v/>
      </c>
    </row>
    <row r="308">
      <c r="F308" s="16">
        <f>IF(AND(D308&lt;&gt;"",E308&lt;&gt;""),IF(ISNUMBER(E308),E308,DATEVALUE(E308))-IF(ISNUMBER(D308),D308,DATEVALUE(D308)),"")</f>
        <v/>
      </c>
    </row>
    <row r="309">
      <c r="F309" s="16">
        <f>IF(AND(D309&lt;&gt;"",E309&lt;&gt;""),IF(ISNUMBER(E309),E309,DATEVALUE(E309))-IF(ISNUMBER(D309),D309,DATEVALUE(D309)),"")</f>
        <v/>
      </c>
    </row>
    <row r="310">
      <c r="F310" s="16">
        <f>IF(AND(D310&lt;&gt;"",E310&lt;&gt;""),IF(ISNUMBER(E310),E310,DATEVALUE(E310))-IF(ISNUMBER(D310),D310,DATEVALUE(D310)),"")</f>
        <v/>
      </c>
    </row>
    <row r="311">
      <c r="F311" s="16">
        <f>IF(AND(D311&lt;&gt;"",E311&lt;&gt;""),IF(ISNUMBER(E311),E311,DATEVALUE(E311))-IF(ISNUMBER(D311),D311,DATEVALUE(D311)),"")</f>
        <v/>
      </c>
    </row>
    <row r="312">
      <c r="F312" s="16">
        <f>IF(AND(D312&lt;&gt;"",E312&lt;&gt;""),IF(ISNUMBER(E312),E312,DATEVALUE(E312))-IF(ISNUMBER(D312),D312,DATEVALUE(D312)),"")</f>
        <v/>
      </c>
    </row>
    <row r="313">
      <c r="F313" s="16">
        <f>IF(AND(D313&lt;&gt;"",E313&lt;&gt;""),IF(ISNUMBER(E313),E313,DATEVALUE(E313))-IF(ISNUMBER(D313),D313,DATEVALUE(D313)),"")</f>
        <v/>
      </c>
    </row>
    <row r="314">
      <c r="F314" s="16">
        <f>IF(AND(D314&lt;&gt;"",E314&lt;&gt;""),IF(ISNUMBER(E314),E314,DATEVALUE(E314))-IF(ISNUMBER(D314),D314,DATEVALUE(D314)),"")</f>
        <v/>
      </c>
    </row>
    <row r="315">
      <c r="F315" s="16">
        <f>IF(AND(D315&lt;&gt;"",E315&lt;&gt;""),IF(ISNUMBER(E315),E315,DATEVALUE(E315))-IF(ISNUMBER(D315),D315,DATEVALUE(D315)),"")</f>
        <v/>
      </c>
    </row>
    <row r="316">
      <c r="F316" s="16">
        <f>IF(AND(D316&lt;&gt;"",E316&lt;&gt;""),IF(ISNUMBER(E316),E316,DATEVALUE(E316))-IF(ISNUMBER(D316),D316,DATEVALUE(D316)),"")</f>
        <v/>
      </c>
    </row>
    <row r="317">
      <c r="F317" s="16">
        <f>IF(AND(D317&lt;&gt;"",E317&lt;&gt;""),IF(ISNUMBER(E317),E317,DATEVALUE(E317))-IF(ISNUMBER(D317),D317,DATEVALUE(D317)),"")</f>
        <v/>
      </c>
    </row>
    <row r="318">
      <c r="F318" s="16">
        <f>IF(AND(D318&lt;&gt;"",E318&lt;&gt;""),IF(ISNUMBER(E318),E318,DATEVALUE(E318))-IF(ISNUMBER(D318),D318,DATEVALUE(D318)),"")</f>
        <v/>
      </c>
    </row>
    <row r="319">
      <c r="F319" s="16">
        <f>IF(AND(D319&lt;&gt;"",E319&lt;&gt;""),IF(ISNUMBER(E319),E319,DATEVALUE(E319))-IF(ISNUMBER(D319),D319,DATEVALUE(D319)),"")</f>
        <v/>
      </c>
    </row>
    <row r="320">
      <c r="F320" s="16">
        <f>IF(AND(D320&lt;&gt;"",E320&lt;&gt;""),IF(ISNUMBER(E320),E320,DATEVALUE(E320))-IF(ISNUMBER(D320),D320,DATEVALUE(D320)),"")</f>
        <v/>
      </c>
    </row>
    <row r="321">
      <c r="F321" s="16">
        <f>IF(AND(D321&lt;&gt;"",E321&lt;&gt;""),IF(ISNUMBER(E321),E321,DATEVALUE(E321))-IF(ISNUMBER(D321),D321,DATEVALUE(D321)),"")</f>
        <v/>
      </c>
    </row>
    <row r="322">
      <c r="F322" s="16">
        <f>IF(AND(D322&lt;&gt;"",E322&lt;&gt;""),IF(ISNUMBER(E322),E322,DATEVALUE(E322))-IF(ISNUMBER(D322),D322,DATEVALUE(D322)),"")</f>
        <v/>
      </c>
    </row>
    <row r="323">
      <c r="F323" s="16">
        <f>IF(AND(D323&lt;&gt;"",E323&lt;&gt;""),IF(ISNUMBER(E323),E323,DATEVALUE(E323))-IF(ISNUMBER(D323),D323,DATEVALUE(D323)),"")</f>
        <v/>
      </c>
    </row>
    <row r="324">
      <c r="F324" s="16">
        <f>IF(AND(D324&lt;&gt;"",E324&lt;&gt;""),IF(ISNUMBER(E324),E324,DATEVALUE(E324))-IF(ISNUMBER(D324),D324,DATEVALUE(D324)),"")</f>
        <v/>
      </c>
    </row>
    <row r="325">
      <c r="F325" s="16">
        <f>IF(AND(D325&lt;&gt;"",E325&lt;&gt;""),IF(ISNUMBER(E325),E325,DATEVALUE(E325))-IF(ISNUMBER(D325),D325,DATEVALUE(D325)),"")</f>
        <v/>
      </c>
    </row>
    <row r="326">
      <c r="F326" s="16">
        <f>IF(AND(D326&lt;&gt;"",E326&lt;&gt;""),IF(ISNUMBER(E326),E326,DATEVALUE(E326))-IF(ISNUMBER(D326),D326,DATEVALUE(D326)),"")</f>
        <v/>
      </c>
    </row>
    <row r="327">
      <c r="F327" s="16">
        <f>IF(AND(D327&lt;&gt;"",E327&lt;&gt;""),IF(ISNUMBER(E327),E327,DATEVALUE(E327))-IF(ISNUMBER(D327),D327,DATEVALUE(D327)),"")</f>
        <v/>
      </c>
    </row>
    <row r="328">
      <c r="F328" s="16">
        <f>IF(AND(D328&lt;&gt;"",E328&lt;&gt;""),IF(ISNUMBER(E328),E328,DATEVALUE(E328))-IF(ISNUMBER(D328),D328,DATEVALUE(D328)),"")</f>
        <v/>
      </c>
    </row>
    <row r="329">
      <c r="F329" s="16">
        <f>IF(AND(D329&lt;&gt;"",E329&lt;&gt;""),IF(ISNUMBER(E329),E329,DATEVALUE(E329))-IF(ISNUMBER(D329),D329,DATEVALUE(D329)),"")</f>
        <v/>
      </c>
    </row>
    <row r="330">
      <c r="F330" s="16">
        <f>IF(AND(D330&lt;&gt;"",E330&lt;&gt;""),IF(ISNUMBER(E330),E330,DATEVALUE(E330))-IF(ISNUMBER(D330),D330,DATEVALUE(D330)),"")</f>
        <v/>
      </c>
    </row>
    <row r="331">
      <c r="F331" s="16">
        <f>IF(AND(D331&lt;&gt;"",E331&lt;&gt;""),IF(ISNUMBER(E331),E331,DATEVALUE(E331))-IF(ISNUMBER(D331),D331,DATEVALUE(D331)),"")</f>
        <v/>
      </c>
    </row>
    <row r="332">
      <c r="F332" s="16">
        <f>IF(AND(D332&lt;&gt;"",E332&lt;&gt;""),IF(ISNUMBER(E332),E332,DATEVALUE(E332))-IF(ISNUMBER(D332),D332,DATEVALUE(D332)),"")</f>
        <v/>
      </c>
    </row>
    <row r="333">
      <c r="F333" s="16">
        <f>IF(AND(D333&lt;&gt;"",E333&lt;&gt;""),IF(ISNUMBER(E333),E333,DATEVALUE(E333))-IF(ISNUMBER(D333),D333,DATEVALUE(D333)),"")</f>
        <v/>
      </c>
    </row>
    <row r="334">
      <c r="F334" s="16">
        <f>IF(AND(D334&lt;&gt;"",E334&lt;&gt;""),IF(ISNUMBER(E334),E334,DATEVALUE(E334))-IF(ISNUMBER(D334),D334,DATEVALUE(D334)),"")</f>
        <v/>
      </c>
    </row>
    <row r="335">
      <c r="F335" s="16">
        <f>IF(AND(D335&lt;&gt;"",E335&lt;&gt;""),IF(ISNUMBER(E335),E335,DATEVALUE(E335))-IF(ISNUMBER(D335),D335,DATEVALUE(D335)),"")</f>
        <v/>
      </c>
    </row>
    <row r="336">
      <c r="F336" s="16">
        <f>IF(AND(D336&lt;&gt;"",E336&lt;&gt;""),IF(ISNUMBER(E336),E336,DATEVALUE(E336))-IF(ISNUMBER(D336),D336,DATEVALUE(D336)),"")</f>
        <v/>
      </c>
    </row>
    <row r="337">
      <c r="F337" s="16">
        <f>IF(AND(D337&lt;&gt;"",E337&lt;&gt;""),IF(ISNUMBER(E337),E337,DATEVALUE(E337))-IF(ISNUMBER(D337),D337,DATEVALUE(D337)),"")</f>
        <v/>
      </c>
    </row>
    <row r="338">
      <c r="F338" s="16">
        <f>IF(AND(D338&lt;&gt;"",E338&lt;&gt;""),IF(ISNUMBER(E338),E338,DATEVALUE(E338))-IF(ISNUMBER(D338),D338,DATEVALUE(D338)),"")</f>
        <v/>
      </c>
    </row>
    <row r="339">
      <c r="F339" s="16">
        <f>IF(AND(D339&lt;&gt;"",E339&lt;&gt;""),IF(ISNUMBER(E339),E339,DATEVALUE(E339))-IF(ISNUMBER(D339),D339,DATEVALUE(D339)),"")</f>
        <v/>
      </c>
    </row>
    <row r="340">
      <c r="F340" s="16">
        <f>IF(AND(D340&lt;&gt;"",E340&lt;&gt;""),IF(ISNUMBER(E340),E340,DATEVALUE(E340))-IF(ISNUMBER(D340),D340,DATEVALUE(D340)),"")</f>
        <v/>
      </c>
    </row>
    <row r="341">
      <c r="F341" s="16">
        <f>IF(AND(D341&lt;&gt;"",E341&lt;&gt;""),IF(ISNUMBER(E341),E341,DATEVALUE(E341))-IF(ISNUMBER(D341),D341,DATEVALUE(D341)),"")</f>
        <v/>
      </c>
    </row>
    <row r="342">
      <c r="F342" s="16">
        <f>IF(AND(D342&lt;&gt;"",E342&lt;&gt;""),IF(ISNUMBER(E342),E342,DATEVALUE(E342))-IF(ISNUMBER(D342),D342,DATEVALUE(D342)),"")</f>
        <v/>
      </c>
    </row>
    <row r="343">
      <c r="F343" s="16">
        <f>IF(AND(D343&lt;&gt;"",E343&lt;&gt;""),IF(ISNUMBER(E343),E343,DATEVALUE(E343))-IF(ISNUMBER(D343),D343,DATEVALUE(D343)),"")</f>
        <v/>
      </c>
    </row>
    <row r="344">
      <c r="F344" s="16">
        <f>IF(AND(D344&lt;&gt;"",E344&lt;&gt;""),IF(ISNUMBER(E344),E344,DATEVALUE(E344))-IF(ISNUMBER(D344),D344,DATEVALUE(D344)),"")</f>
        <v/>
      </c>
    </row>
    <row r="345">
      <c r="F345" s="16">
        <f>IF(AND(D345&lt;&gt;"",E345&lt;&gt;""),IF(ISNUMBER(E345),E345,DATEVALUE(E345))-IF(ISNUMBER(D345),D345,DATEVALUE(D345)),"")</f>
        <v/>
      </c>
    </row>
    <row r="346">
      <c r="F346" s="16">
        <f>IF(AND(D346&lt;&gt;"",E346&lt;&gt;""),IF(ISNUMBER(E346),E346,DATEVALUE(E346))-IF(ISNUMBER(D346),D346,DATEVALUE(D346)),"")</f>
        <v/>
      </c>
    </row>
    <row r="347">
      <c r="F347" s="16">
        <f>IF(AND(D347&lt;&gt;"",E347&lt;&gt;""),IF(ISNUMBER(E347),E347,DATEVALUE(E347))-IF(ISNUMBER(D347),D347,DATEVALUE(D347)),"")</f>
        <v/>
      </c>
    </row>
    <row r="348">
      <c r="F348" s="16">
        <f>IF(AND(D348&lt;&gt;"",E348&lt;&gt;""),IF(ISNUMBER(E348),E348,DATEVALUE(E348))-IF(ISNUMBER(D348),D348,DATEVALUE(D348)),"")</f>
        <v/>
      </c>
    </row>
    <row r="349">
      <c r="F349" s="16">
        <f>IF(AND(D349&lt;&gt;"",E349&lt;&gt;""),IF(ISNUMBER(E349),E349,DATEVALUE(E349))-IF(ISNUMBER(D349),D349,DATEVALUE(D349)),"")</f>
        <v/>
      </c>
    </row>
    <row r="350">
      <c r="F350" s="16">
        <f>IF(AND(D350&lt;&gt;"",E350&lt;&gt;""),IF(ISNUMBER(E350),E350,DATEVALUE(E350))-IF(ISNUMBER(D350),D350,DATEVALUE(D350)),"")</f>
        <v/>
      </c>
    </row>
    <row r="351">
      <c r="F351" s="16">
        <f>IF(AND(D351&lt;&gt;"",E351&lt;&gt;""),IF(ISNUMBER(E351),E351,DATEVALUE(E351))-IF(ISNUMBER(D351),D351,DATEVALUE(D351)),"")</f>
        <v/>
      </c>
    </row>
    <row r="352">
      <c r="F352" s="16">
        <f>IF(AND(D352&lt;&gt;"",E352&lt;&gt;""),IF(ISNUMBER(E352),E352,DATEVALUE(E352))-IF(ISNUMBER(D352),D352,DATEVALUE(D352)),"")</f>
        <v/>
      </c>
    </row>
    <row r="353">
      <c r="F353" s="16">
        <f>IF(AND(D353&lt;&gt;"",E353&lt;&gt;""),IF(ISNUMBER(E353),E353,DATEVALUE(E353))-IF(ISNUMBER(D353),D353,DATEVALUE(D353)),"")</f>
        <v/>
      </c>
    </row>
    <row r="354">
      <c r="F354" s="16">
        <f>IF(AND(D354&lt;&gt;"",E354&lt;&gt;""),IF(ISNUMBER(E354),E354,DATEVALUE(E354))-IF(ISNUMBER(D354),D354,DATEVALUE(D354)),"")</f>
        <v/>
      </c>
    </row>
    <row r="355">
      <c r="F355" s="16">
        <f>IF(AND(D355&lt;&gt;"",E355&lt;&gt;""),IF(ISNUMBER(E355),E355,DATEVALUE(E355))-IF(ISNUMBER(D355),D355,DATEVALUE(D355)),"")</f>
        <v/>
      </c>
    </row>
    <row r="356">
      <c r="F356" s="16">
        <f>IF(AND(D356&lt;&gt;"",E356&lt;&gt;""),IF(ISNUMBER(E356),E356,DATEVALUE(E356))-IF(ISNUMBER(D356),D356,DATEVALUE(D356)),"")</f>
        <v/>
      </c>
    </row>
    <row r="357">
      <c r="F357" s="16">
        <f>IF(AND(D357&lt;&gt;"",E357&lt;&gt;""),IF(ISNUMBER(E357),E357,DATEVALUE(E357))-IF(ISNUMBER(D357),D357,DATEVALUE(D357)),"")</f>
        <v/>
      </c>
    </row>
    <row r="358">
      <c r="F358" s="16">
        <f>IF(AND(D358&lt;&gt;"",E358&lt;&gt;""),IF(ISNUMBER(E358),E358,DATEVALUE(E358))-IF(ISNUMBER(D358),D358,DATEVALUE(D358)),"")</f>
        <v/>
      </c>
    </row>
    <row r="359">
      <c r="F359" s="16">
        <f>IF(AND(D359&lt;&gt;"",E359&lt;&gt;""),IF(ISNUMBER(E359),E359,DATEVALUE(E359))-IF(ISNUMBER(D359),D359,DATEVALUE(D359)),"")</f>
        <v/>
      </c>
    </row>
    <row r="360">
      <c r="F360" s="16">
        <f>IF(AND(D360&lt;&gt;"",E360&lt;&gt;""),IF(ISNUMBER(E360),E360,DATEVALUE(E360))-IF(ISNUMBER(D360),D360,DATEVALUE(D360)),"")</f>
        <v/>
      </c>
    </row>
    <row r="361">
      <c r="F361" s="16">
        <f>IF(AND(D361&lt;&gt;"",E361&lt;&gt;""),IF(ISNUMBER(E361),E361,DATEVALUE(E361))-IF(ISNUMBER(D361),D361,DATEVALUE(D361)),"")</f>
        <v/>
      </c>
    </row>
    <row r="362">
      <c r="F362" s="16">
        <f>IF(AND(D362&lt;&gt;"",E362&lt;&gt;""),IF(ISNUMBER(E362),E362,DATEVALUE(E362))-IF(ISNUMBER(D362),D362,DATEVALUE(D362)),"")</f>
        <v/>
      </c>
    </row>
    <row r="363">
      <c r="F363" s="16">
        <f>IF(AND(D363&lt;&gt;"",E363&lt;&gt;""),IF(ISNUMBER(E363),E363,DATEVALUE(E363))-IF(ISNUMBER(D363),D363,DATEVALUE(D363)),"")</f>
        <v/>
      </c>
    </row>
    <row r="364">
      <c r="F364" s="16">
        <f>IF(AND(D364&lt;&gt;"",E364&lt;&gt;""),IF(ISNUMBER(E364),E364,DATEVALUE(E364))-IF(ISNUMBER(D364),D364,DATEVALUE(D364)),"")</f>
        <v/>
      </c>
    </row>
    <row r="365">
      <c r="F365" s="16">
        <f>IF(AND(D365&lt;&gt;"",E365&lt;&gt;""),IF(ISNUMBER(E365),E365,DATEVALUE(E365))-IF(ISNUMBER(D365),D365,DATEVALUE(D365)),"")</f>
        <v/>
      </c>
    </row>
    <row r="366">
      <c r="F366" s="16">
        <f>IF(AND(D366&lt;&gt;"",E366&lt;&gt;""),IF(ISNUMBER(E366),E366,DATEVALUE(E366))-IF(ISNUMBER(D366),D366,DATEVALUE(D366)),"")</f>
        <v/>
      </c>
    </row>
    <row r="367">
      <c r="F367" s="16">
        <f>IF(AND(D367&lt;&gt;"",E367&lt;&gt;""),IF(ISNUMBER(E367),E367,DATEVALUE(E367))-IF(ISNUMBER(D367),D367,DATEVALUE(D367)),"")</f>
        <v/>
      </c>
    </row>
    <row r="368">
      <c r="F368" s="16">
        <f>IF(AND(D368&lt;&gt;"",E368&lt;&gt;""),IF(ISNUMBER(E368),E368,DATEVALUE(E368))-IF(ISNUMBER(D368),D368,DATEVALUE(D368)),"")</f>
        <v/>
      </c>
    </row>
    <row r="369">
      <c r="F369" s="16">
        <f>IF(AND(D369&lt;&gt;"",E369&lt;&gt;""),IF(ISNUMBER(E369),E369,DATEVALUE(E369))-IF(ISNUMBER(D369),D369,DATEVALUE(D369)),"")</f>
        <v/>
      </c>
    </row>
    <row r="370">
      <c r="F370" s="16">
        <f>IF(AND(D370&lt;&gt;"",E370&lt;&gt;""),IF(ISNUMBER(E370),E370,DATEVALUE(E370))-IF(ISNUMBER(D370),D370,DATEVALUE(D370)),"")</f>
        <v/>
      </c>
    </row>
    <row r="371">
      <c r="F371" s="16">
        <f>IF(AND(D371&lt;&gt;"",E371&lt;&gt;""),IF(ISNUMBER(E371),E371,DATEVALUE(E371))-IF(ISNUMBER(D371),D371,DATEVALUE(D371)),"")</f>
        <v/>
      </c>
    </row>
    <row r="372">
      <c r="F372" s="16">
        <f>IF(AND(D372&lt;&gt;"",E372&lt;&gt;""),IF(ISNUMBER(E372),E372,DATEVALUE(E372))-IF(ISNUMBER(D372),D372,DATEVALUE(D372)),"")</f>
        <v/>
      </c>
    </row>
    <row r="373">
      <c r="F373" s="16">
        <f>IF(AND(D373&lt;&gt;"",E373&lt;&gt;""),IF(ISNUMBER(E373),E373,DATEVALUE(E373))-IF(ISNUMBER(D373),D373,DATEVALUE(D373)),"")</f>
        <v/>
      </c>
    </row>
    <row r="374">
      <c r="F374" s="16">
        <f>IF(AND(D374&lt;&gt;"",E374&lt;&gt;""),IF(ISNUMBER(E374),E374,DATEVALUE(E374))-IF(ISNUMBER(D374),D374,DATEVALUE(D374)),"")</f>
        <v/>
      </c>
    </row>
    <row r="375">
      <c r="F375" s="16">
        <f>IF(AND(D375&lt;&gt;"",E375&lt;&gt;""),IF(ISNUMBER(E375),E375,DATEVALUE(E375))-IF(ISNUMBER(D375),D375,DATEVALUE(D375)),"")</f>
        <v/>
      </c>
    </row>
    <row r="376">
      <c r="F376" s="16">
        <f>IF(AND(D376&lt;&gt;"",E376&lt;&gt;""),IF(ISNUMBER(E376),E376,DATEVALUE(E376))-IF(ISNUMBER(D376),D376,DATEVALUE(D376)),"")</f>
        <v/>
      </c>
    </row>
    <row r="377">
      <c r="F377" s="16">
        <f>IF(AND(D377&lt;&gt;"",E377&lt;&gt;""),IF(ISNUMBER(E377),E377,DATEVALUE(E377))-IF(ISNUMBER(D377),D377,DATEVALUE(D377)),"")</f>
        <v/>
      </c>
    </row>
    <row r="378">
      <c r="F378" s="16">
        <f>IF(AND(D378&lt;&gt;"",E378&lt;&gt;""),IF(ISNUMBER(E378),E378,DATEVALUE(E378))-IF(ISNUMBER(D378),D378,DATEVALUE(D378)),"")</f>
        <v/>
      </c>
    </row>
    <row r="379">
      <c r="F379" s="16">
        <f>IF(AND(D379&lt;&gt;"",E379&lt;&gt;""),IF(ISNUMBER(E379),E379,DATEVALUE(E379))-IF(ISNUMBER(D379),D379,DATEVALUE(D379)),"")</f>
        <v/>
      </c>
    </row>
    <row r="380">
      <c r="F380" s="16">
        <f>IF(AND(D380&lt;&gt;"",E380&lt;&gt;""),IF(ISNUMBER(E380),E380,DATEVALUE(E380))-IF(ISNUMBER(D380),D380,DATEVALUE(D380)),"")</f>
        <v/>
      </c>
    </row>
    <row r="381">
      <c r="F381" s="16">
        <f>IF(AND(D381&lt;&gt;"",E381&lt;&gt;""),IF(ISNUMBER(E381),E381,DATEVALUE(E381))-IF(ISNUMBER(D381),D381,DATEVALUE(D381)),"")</f>
        <v/>
      </c>
    </row>
    <row r="382">
      <c r="F382" s="16">
        <f>IF(AND(D382&lt;&gt;"",E382&lt;&gt;""),IF(ISNUMBER(E382),E382,DATEVALUE(E382))-IF(ISNUMBER(D382),D382,DATEVALUE(D382)),"")</f>
        <v/>
      </c>
    </row>
    <row r="383">
      <c r="F383" s="16">
        <f>IF(AND(D383&lt;&gt;"",E383&lt;&gt;""),IF(ISNUMBER(E383),E383,DATEVALUE(E383))-IF(ISNUMBER(D383),D383,DATEVALUE(D383)),"")</f>
        <v/>
      </c>
    </row>
    <row r="384">
      <c r="F384" s="16">
        <f>IF(AND(D384&lt;&gt;"",E384&lt;&gt;""),IF(ISNUMBER(E384),E384,DATEVALUE(E384))-IF(ISNUMBER(D384),D384,DATEVALUE(D384)),"")</f>
        <v/>
      </c>
    </row>
    <row r="385">
      <c r="F385" s="16">
        <f>IF(AND(D385&lt;&gt;"",E385&lt;&gt;""),IF(ISNUMBER(E385),E385,DATEVALUE(E385))-IF(ISNUMBER(D385),D385,DATEVALUE(D385)),"")</f>
        <v/>
      </c>
    </row>
    <row r="386">
      <c r="F386" s="16">
        <f>IF(AND(D386&lt;&gt;"",E386&lt;&gt;""),IF(ISNUMBER(E386),E386,DATEVALUE(E386))-IF(ISNUMBER(D386),D386,DATEVALUE(D386)),"")</f>
        <v/>
      </c>
    </row>
    <row r="387">
      <c r="F387" s="16">
        <f>IF(AND(D387&lt;&gt;"",E387&lt;&gt;""),IF(ISNUMBER(E387),E387,DATEVALUE(E387))-IF(ISNUMBER(D387),D387,DATEVALUE(D387)),"")</f>
        <v/>
      </c>
    </row>
    <row r="388">
      <c r="F388" s="16">
        <f>IF(AND(D388&lt;&gt;"",E388&lt;&gt;""),IF(ISNUMBER(E388),E388,DATEVALUE(E388))-IF(ISNUMBER(D388),D388,DATEVALUE(D388)),"")</f>
        <v/>
      </c>
    </row>
    <row r="389">
      <c r="F389" s="16">
        <f>IF(AND(D389&lt;&gt;"",E389&lt;&gt;""),IF(ISNUMBER(E389),E389,DATEVALUE(E389))-IF(ISNUMBER(D389),D389,DATEVALUE(D389)),"")</f>
        <v/>
      </c>
    </row>
    <row r="390">
      <c r="F390" s="16">
        <f>IF(AND(D390&lt;&gt;"",E390&lt;&gt;""),IF(ISNUMBER(E390),E390,DATEVALUE(E390))-IF(ISNUMBER(D390),D390,DATEVALUE(D390)),"")</f>
        <v/>
      </c>
    </row>
    <row r="391">
      <c r="F391" s="16">
        <f>IF(AND(D391&lt;&gt;"",E391&lt;&gt;""),IF(ISNUMBER(E391),E391,DATEVALUE(E391))-IF(ISNUMBER(D391),D391,DATEVALUE(D391)),"")</f>
        <v/>
      </c>
    </row>
    <row r="392">
      <c r="F392" s="16">
        <f>IF(AND(D392&lt;&gt;"",E392&lt;&gt;""),IF(ISNUMBER(E392),E392,DATEVALUE(E392))-IF(ISNUMBER(D392),D392,DATEVALUE(D392)),"")</f>
        <v/>
      </c>
    </row>
    <row r="393">
      <c r="F393" s="16">
        <f>IF(AND(D393&lt;&gt;"",E393&lt;&gt;""),IF(ISNUMBER(E393),E393,DATEVALUE(E393))-IF(ISNUMBER(D393),D393,DATEVALUE(D393)),"")</f>
        <v/>
      </c>
    </row>
    <row r="394">
      <c r="F394" s="16">
        <f>IF(AND(D394&lt;&gt;"",E394&lt;&gt;""),IF(ISNUMBER(E394),E394,DATEVALUE(E394))-IF(ISNUMBER(D394),D394,DATEVALUE(D394)),"")</f>
        <v/>
      </c>
    </row>
    <row r="395">
      <c r="F395" s="16">
        <f>IF(AND(D395&lt;&gt;"",E395&lt;&gt;""),IF(ISNUMBER(E395),E395,DATEVALUE(E395))-IF(ISNUMBER(D395),D395,DATEVALUE(D395)),"")</f>
        <v/>
      </c>
    </row>
    <row r="396">
      <c r="F396" s="16">
        <f>IF(AND(D396&lt;&gt;"",E396&lt;&gt;""),IF(ISNUMBER(E396),E396,DATEVALUE(E396))-IF(ISNUMBER(D396),D396,DATEVALUE(D396)),"")</f>
        <v/>
      </c>
    </row>
    <row r="397">
      <c r="F397" s="16">
        <f>IF(AND(D397&lt;&gt;"",E397&lt;&gt;""),IF(ISNUMBER(E397),E397,DATEVALUE(E397))-IF(ISNUMBER(D397),D397,DATEVALUE(D397)),"")</f>
        <v/>
      </c>
    </row>
    <row r="398">
      <c r="F398" s="16">
        <f>IF(AND(D398&lt;&gt;"",E398&lt;&gt;""),IF(ISNUMBER(E398),E398,DATEVALUE(E398))-IF(ISNUMBER(D398),D398,DATEVALUE(D398)),"")</f>
        <v/>
      </c>
    </row>
    <row r="399">
      <c r="F399" s="16">
        <f>IF(AND(D399&lt;&gt;"",E399&lt;&gt;""),IF(ISNUMBER(E399),E399,DATEVALUE(E399))-IF(ISNUMBER(D399),D399,DATEVALUE(D399)),"")</f>
        <v/>
      </c>
    </row>
    <row r="400">
      <c r="F400" s="16">
        <f>IF(AND(D400&lt;&gt;"",E400&lt;&gt;""),IF(ISNUMBER(E400),E400,DATEVALUE(E400))-IF(ISNUMBER(D400),D400,DATEVALUE(D400)),"")</f>
        <v/>
      </c>
    </row>
    <row r="401">
      <c r="F401" s="16">
        <f>IF(AND(D401&lt;&gt;"",E401&lt;&gt;""),IF(ISNUMBER(E401),E401,DATEVALUE(E401))-IF(ISNUMBER(D401),D401,DATEVALUE(D401)),"")</f>
        <v/>
      </c>
    </row>
    <row r="402">
      <c r="F402" s="16">
        <f>IF(AND(D402&lt;&gt;"",E402&lt;&gt;""),IF(ISNUMBER(E402),E402,DATEVALUE(E402))-IF(ISNUMBER(D402),D402,DATEVALUE(D402)),"")</f>
        <v/>
      </c>
    </row>
    <row r="403">
      <c r="F403" s="16">
        <f>IF(AND(D403&lt;&gt;"",E403&lt;&gt;""),IF(ISNUMBER(E403),E403,DATEVALUE(E403))-IF(ISNUMBER(D403),D403,DATEVALUE(D403)),"")</f>
        <v/>
      </c>
    </row>
    <row r="404">
      <c r="F404" s="16">
        <f>IF(AND(D404&lt;&gt;"",E404&lt;&gt;""),IF(ISNUMBER(E404),E404,DATEVALUE(E404))-IF(ISNUMBER(D404),D404,DATEVALUE(D404)),"")</f>
        <v/>
      </c>
    </row>
    <row r="405">
      <c r="F405" s="16">
        <f>IF(AND(D405&lt;&gt;"",E405&lt;&gt;""),IF(ISNUMBER(E405),E405,DATEVALUE(E405))-IF(ISNUMBER(D405),D405,DATEVALUE(D405)),"")</f>
        <v/>
      </c>
    </row>
    <row r="406">
      <c r="F406" s="16">
        <f>IF(AND(D406&lt;&gt;"",E406&lt;&gt;""),IF(ISNUMBER(E406),E406,DATEVALUE(E406))-IF(ISNUMBER(D406),D406,DATEVALUE(D406)),"")</f>
        <v/>
      </c>
    </row>
    <row r="407">
      <c r="F407" s="16">
        <f>IF(AND(D407&lt;&gt;"",E407&lt;&gt;""),IF(ISNUMBER(E407),E407,DATEVALUE(E407))-IF(ISNUMBER(D407),D407,DATEVALUE(D407)),"")</f>
        <v/>
      </c>
    </row>
    <row r="408">
      <c r="F408" s="16">
        <f>IF(AND(D408&lt;&gt;"",E408&lt;&gt;""),IF(ISNUMBER(E408),E408,DATEVALUE(E408))-IF(ISNUMBER(D408),D408,DATEVALUE(D408)),"")</f>
        <v/>
      </c>
    </row>
    <row r="409">
      <c r="F409" s="16">
        <f>IF(AND(D409&lt;&gt;"",E409&lt;&gt;""),IF(ISNUMBER(E409),E409,DATEVALUE(E409))-IF(ISNUMBER(D409),D409,DATEVALUE(D409)),"")</f>
        <v/>
      </c>
    </row>
    <row r="410">
      <c r="F410" s="16">
        <f>IF(AND(D410&lt;&gt;"",E410&lt;&gt;""),IF(ISNUMBER(E410),E410,DATEVALUE(E410))-IF(ISNUMBER(D410),D410,DATEVALUE(D410)),"")</f>
        <v/>
      </c>
    </row>
    <row r="411">
      <c r="F411" s="16">
        <f>IF(AND(D411&lt;&gt;"",E411&lt;&gt;""),IF(ISNUMBER(E411),E411,DATEVALUE(E411))-IF(ISNUMBER(D411),D411,DATEVALUE(D411)),"")</f>
        <v/>
      </c>
    </row>
    <row r="412">
      <c r="F412" s="16">
        <f>IF(AND(D412&lt;&gt;"",E412&lt;&gt;""),IF(ISNUMBER(E412),E412,DATEVALUE(E412))-IF(ISNUMBER(D412),D412,DATEVALUE(D412)),"")</f>
        <v/>
      </c>
    </row>
    <row r="413">
      <c r="F413" s="16">
        <f>IF(AND(D413&lt;&gt;"",E413&lt;&gt;""),IF(ISNUMBER(E413),E413,DATEVALUE(E413))-IF(ISNUMBER(D413),D413,DATEVALUE(D413)),"")</f>
        <v/>
      </c>
    </row>
    <row r="414">
      <c r="F414" s="16">
        <f>IF(AND(D414&lt;&gt;"",E414&lt;&gt;""),IF(ISNUMBER(E414),E414,DATEVALUE(E414))-IF(ISNUMBER(D414),D414,DATEVALUE(D414)),"")</f>
        <v/>
      </c>
    </row>
    <row r="415">
      <c r="F415" s="16">
        <f>IF(AND(D415&lt;&gt;"",E415&lt;&gt;""),IF(ISNUMBER(E415),E415,DATEVALUE(E415))-IF(ISNUMBER(D415),D415,DATEVALUE(D415)),"")</f>
        <v/>
      </c>
    </row>
    <row r="416">
      <c r="F416" s="16">
        <f>IF(AND(D416&lt;&gt;"",E416&lt;&gt;""),IF(ISNUMBER(E416),E416,DATEVALUE(E416))-IF(ISNUMBER(D416),D416,DATEVALUE(D416)),"")</f>
        <v/>
      </c>
    </row>
    <row r="417">
      <c r="F417" s="16">
        <f>IF(AND(D417&lt;&gt;"",E417&lt;&gt;""),IF(ISNUMBER(E417),E417,DATEVALUE(E417))-IF(ISNUMBER(D417),D417,DATEVALUE(D417)),"")</f>
        <v/>
      </c>
    </row>
    <row r="418">
      <c r="F418" s="16">
        <f>IF(AND(D418&lt;&gt;"",E418&lt;&gt;""),IF(ISNUMBER(E418),E418,DATEVALUE(E418))-IF(ISNUMBER(D418),D418,DATEVALUE(D418)),"")</f>
        <v/>
      </c>
    </row>
    <row r="419">
      <c r="F419" s="16">
        <f>IF(AND(D419&lt;&gt;"",E419&lt;&gt;""),IF(ISNUMBER(E419),E419,DATEVALUE(E419))-IF(ISNUMBER(D419),D419,DATEVALUE(D419)),"")</f>
        <v/>
      </c>
    </row>
    <row r="420">
      <c r="F420" s="16">
        <f>IF(AND(D420&lt;&gt;"",E420&lt;&gt;""),IF(ISNUMBER(E420),E420,DATEVALUE(E420))-IF(ISNUMBER(D420),D420,DATEVALUE(D420)),"")</f>
        <v/>
      </c>
    </row>
    <row r="421">
      <c r="F421" s="16">
        <f>IF(AND(D421&lt;&gt;"",E421&lt;&gt;""),IF(ISNUMBER(E421),E421,DATEVALUE(E421))-IF(ISNUMBER(D421),D421,DATEVALUE(D421)),"")</f>
        <v/>
      </c>
    </row>
    <row r="422">
      <c r="F422" s="16">
        <f>IF(AND(D422&lt;&gt;"",E422&lt;&gt;""),IF(ISNUMBER(E422),E422,DATEVALUE(E422))-IF(ISNUMBER(D422),D422,DATEVALUE(D422)),"")</f>
        <v/>
      </c>
    </row>
    <row r="423">
      <c r="F423" s="16">
        <f>IF(AND(D423&lt;&gt;"",E423&lt;&gt;""),IF(ISNUMBER(E423),E423,DATEVALUE(E423))-IF(ISNUMBER(D423),D423,DATEVALUE(D423)),"")</f>
        <v/>
      </c>
    </row>
    <row r="424">
      <c r="F424" s="16">
        <f>IF(AND(D424&lt;&gt;"",E424&lt;&gt;""),IF(ISNUMBER(E424),E424,DATEVALUE(E424))-IF(ISNUMBER(D424),D424,DATEVALUE(D424)),"")</f>
        <v/>
      </c>
    </row>
    <row r="425">
      <c r="F425" s="16">
        <f>IF(AND(D425&lt;&gt;"",E425&lt;&gt;""),IF(ISNUMBER(E425),E425,DATEVALUE(E425))-IF(ISNUMBER(D425),D425,DATEVALUE(D425)),"")</f>
        <v/>
      </c>
    </row>
    <row r="426">
      <c r="F426" s="16">
        <f>IF(AND(D426&lt;&gt;"",E426&lt;&gt;""),IF(ISNUMBER(E426),E426,DATEVALUE(E426))-IF(ISNUMBER(D426),D426,DATEVALUE(D426)),"")</f>
        <v/>
      </c>
    </row>
    <row r="427">
      <c r="F427" s="16">
        <f>IF(AND(D427&lt;&gt;"",E427&lt;&gt;""),IF(ISNUMBER(E427),E427,DATEVALUE(E427))-IF(ISNUMBER(D427),D427,DATEVALUE(D427)),"")</f>
        <v/>
      </c>
    </row>
    <row r="428">
      <c r="F428" s="16">
        <f>IF(AND(D428&lt;&gt;"",E428&lt;&gt;""),IF(ISNUMBER(E428),E428,DATEVALUE(E428))-IF(ISNUMBER(D428),D428,DATEVALUE(D428)),"")</f>
        <v/>
      </c>
    </row>
    <row r="429">
      <c r="F429" s="16">
        <f>IF(AND(D429&lt;&gt;"",E429&lt;&gt;""),IF(ISNUMBER(E429),E429,DATEVALUE(E429))-IF(ISNUMBER(D429),D429,DATEVALUE(D429)),"")</f>
        <v/>
      </c>
    </row>
    <row r="430">
      <c r="F430" s="16">
        <f>IF(AND(D430&lt;&gt;"",E430&lt;&gt;""),IF(ISNUMBER(E430),E430,DATEVALUE(E430))-IF(ISNUMBER(D430),D430,DATEVALUE(D430)),"")</f>
        <v/>
      </c>
    </row>
    <row r="431">
      <c r="F431" s="16">
        <f>IF(AND(D431&lt;&gt;"",E431&lt;&gt;""),IF(ISNUMBER(E431),E431,DATEVALUE(E431))-IF(ISNUMBER(D431),D431,DATEVALUE(D431)),"")</f>
        <v/>
      </c>
    </row>
    <row r="432">
      <c r="F432" s="16">
        <f>IF(AND(D432&lt;&gt;"",E432&lt;&gt;""),IF(ISNUMBER(E432),E432,DATEVALUE(E432))-IF(ISNUMBER(D432),D432,DATEVALUE(D432)),"")</f>
        <v/>
      </c>
    </row>
    <row r="433">
      <c r="F433" s="16">
        <f>IF(AND(D433&lt;&gt;"",E433&lt;&gt;""),IF(ISNUMBER(E433),E433,DATEVALUE(E433))-IF(ISNUMBER(D433),D433,DATEVALUE(D433)),"")</f>
        <v/>
      </c>
    </row>
    <row r="434">
      <c r="F434" s="16">
        <f>IF(AND(D434&lt;&gt;"",E434&lt;&gt;""),IF(ISNUMBER(E434),E434,DATEVALUE(E434))-IF(ISNUMBER(D434),D434,DATEVALUE(D434)),"")</f>
        <v/>
      </c>
    </row>
    <row r="435">
      <c r="F435" s="16">
        <f>IF(AND(D435&lt;&gt;"",E435&lt;&gt;""),IF(ISNUMBER(E435),E435,DATEVALUE(E435))-IF(ISNUMBER(D435),D435,DATEVALUE(D435)),"")</f>
        <v/>
      </c>
    </row>
    <row r="436">
      <c r="F436" s="16">
        <f>IF(AND(D436&lt;&gt;"",E436&lt;&gt;""),IF(ISNUMBER(E436),E436,DATEVALUE(E436))-IF(ISNUMBER(D436),D436,DATEVALUE(D436)),"")</f>
        <v/>
      </c>
    </row>
    <row r="437">
      <c r="F437" s="16">
        <f>IF(AND(D437&lt;&gt;"",E437&lt;&gt;""),IF(ISNUMBER(E437),E437,DATEVALUE(E437))-IF(ISNUMBER(D437),D437,DATEVALUE(D437)),"")</f>
        <v/>
      </c>
    </row>
    <row r="438">
      <c r="F438" s="16">
        <f>IF(AND(D438&lt;&gt;"",E438&lt;&gt;""),IF(ISNUMBER(E438),E438,DATEVALUE(E438))-IF(ISNUMBER(D438),D438,DATEVALUE(D438)),"")</f>
        <v/>
      </c>
    </row>
    <row r="439">
      <c r="F439" s="16">
        <f>IF(AND(D439&lt;&gt;"",E439&lt;&gt;""),IF(ISNUMBER(E439),E439,DATEVALUE(E439))-IF(ISNUMBER(D439),D439,DATEVALUE(D439)),"")</f>
        <v/>
      </c>
    </row>
    <row r="440">
      <c r="F440" s="16">
        <f>IF(AND(D440&lt;&gt;"",E440&lt;&gt;""),IF(ISNUMBER(E440),E440,DATEVALUE(E440))-IF(ISNUMBER(D440),D440,DATEVALUE(D440)),"")</f>
        <v/>
      </c>
    </row>
    <row r="441">
      <c r="F441" s="16">
        <f>IF(AND(D441&lt;&gt;"",E441&lt;&gt;""),IF(ISNUMBER(E441),E441,DATEVALUE(E441))-IF(ISNUMBER(D441),D441,DATEVALUE(D441)),"")</f>
        <v/>
      </c>
    </row>
    <row r="442">
      <c r="F442" s="16">
        <f>IF(AND(D442&lt;&gt;"",E442&lt;&gt;""),IF(ISNUMBER(E442),E442,DATEVALUE(E442))-IF(ISNUMBER(D442),D442,DATEVALUE(D442)),"")</f>
        <v/>
      </c>
    </row>
    <row r="443">
      <c r="F443" s="16">
        <f>IF(AND(D443&lt;&gt;"",E443&lt;&gt;""),IF(ISNUMBER(E443),E443,DATEVALUE(E443))-IF(ISNUMBER(D443),D443,DATEVALUE(D443)),"")</f>
        <v/>
      </c>
    </row>
    <row r="444">
      <c r="F444" s="16">
        <f>IF(AND(D444&lt;&gt;"",E444&lt;&gt;""),IF(ISNUMBER(E444),E444,DATEVALUE(E444))-IF(ISNUMBER(D444),D444,DATEVALUE(D444)),"")</f>
        <v/>
      </c>
    </row>
    <row r="445">
      <c r="F445" s="16">
        <f>IF(AND(D445&lt;&gt;"",E445&lt;&gt;""),IF(ISNUMBER(E445),E445,DATEVALUE(E445))-IF(ISNUMBER(D445),D445,DATEVALUE(D445)),"")</f>
        <v/>
      </c>
    </row>
    <row r="446">
      <c r="F446" s="16">
        <f>IF(AND(D446&lt;&gt;"",E446&lt;&gt;""),IF(ISNUMBER(E446),E446,DATEVALUE(E446))-IF(ISNUMBER(D446),D446,DATEVALUE(D446)),"")</f>
        <v/>
      </c>
    </row>
    <row r="447">
      <c r="F447" s="16">
        <f>IF(AND(D447&lt;&gt;"",E447&lt;&gt;""),IF(ISNUMBER(E447),E447,DATEVALUE(E447))-IF(ISNUMBER(D447),D447,DATEVALUE(D447)),"")</f>
        <v/>
      </c>
    </row>
    <row r="448">
      <c r="F448" s="16">
        <f>IF(AND(D448&lt;&gt;"",E448&lt;&gt;""),IF(ISNUMBER(E448),E448,DATEVALUE(E448))-IF(ISNUMBER(D448),D448,DATEVALUE(D448)),"")</f>
        <v/>
      </c>
    </row>
    <row r="449">
      <c r="F449" s="16">
        <f>IF(AND(D449&lt;&gt;"",E449&lt;&gt;""),IF(ISNUMBER(E449),E449,DATEVALUE(E449))-IF(ISNUMBER(D449),D449,DATEVALUE(D449)),"")</f>
        <v/>
      </c>
    </row>
    <row r="450">
      <c r="F450" s="16">
        <f>IF(AND(D450&lt;&gt;"",E450&lt;&gt;""),IF(ISNUMBER(E450),E450,DATEVALUE(E450))-IF(ISNUMBER(D450),D450,DATEVALUE(D450)),"")</f>
        <v/>
      </c>
    </row>
    <row r="451">
      <c r="F451" s="16">
        <f>IF(AND(D451&lt;&gt;"",E451&lt;&gt;""),IF(ISNUMBER(E451),E451,DATEVALUE(E451))-IF(ISNUMBER(D451),D451,DATEVALUE(D451)),"")</f>
        <v/>
      </c>
    </row>
    <row r="452">
      <c r="F452" s="16">
        <f>IF(AND(D452&lt;&gt;"",E452&lt;&gt;""),IF(ISNUMBER(E452),E452,DATEVALUE(E452))-IF(ISNUMBER(D452),D452,DATEVALUE(D452)),"")</f>
        <v/>
      </c>
    </row>
    <row r="453">
      <c r="F453" s="16">
        <f>IF(AND(D453&lt;&gt;"",E453&lt;&gt;""),IF(ISNUMBER(E453),E453,DATEVALUE(E453))-IF(ISNUMBER(D453),D453,DATEVALUE(D453)),"")</f>
        <v/>
      </c>
    </row>
    <row r="454">
      <c r="F454" s="16">
        <f>IF(AND(D454&lt;&gt;"",E454&lt;&gt;""),IF(ISNUMBER(E454),E454,DATEVALUE(E454))-IF(ISNUMBER(D454),D454,DATEVALUE(D454)),"")</f>
        <v/>
      </c>
    </row>
    <row r="455">
      <c r="F455" s="16">
        <f>IF(AND(D455&lt;&gt;"",E455&lt;&gt;""),IF(ISNUMBER(E455),E455,DATEVALUE(E455))-IF(ISNUMBER(D455),D455,DATEVALUE(D455)),"")</f>
        <v/>
      </c>
    </row>
    <row r="456">
      <c r="F456" s="16">
        <f>IF(AND(D456&lt;&gt;"",E456&lt;&gt;""),IF(ISNUMBER(E456),E456,DATEVALUE(E456))-IF(ISNUMBER(D456),D456,DATEVALUE(D456)),"")</f>
        <v/>
      </c>
    </row>
    <row r="457">
      <c r="F457" s="16">
        <f>IF(AND(D457&lt;&gt;"",E457&lt;&gt;""),IF(ISNUMBER(E457),E457,DATEVALUE(E457))-IF(ISNUMBER(D457),D457,DATEVALUE(D457)),"")</f>
        <v/>
      </c>
    </row>
    <row r="458">
      <c r="F458" s="16">
        <f>IF(AND(D458&lt;&gt;"",E458&lt;&gt;""),IF(ISNUMBER(E458),E458,DATEVALUE(E458))-IF(ISNUMBER(D458),D458,DATEVALUE(D458)),"")</f>
        <v/>
      </c>
    </row>
    <row r="459">
      <c r="F459" s="16">
        <f>IF(AND(D459&lt;&gt;"",E459&lt;&gt;""),IF(ISNUMBER(E459),E459,DATEVALUE(E459))-IF(ISNUMBER(D459),D459,DATEVALUE(D459)),"")</f>
        <v/>
      </c>
    </row>
    <row r="460">
      <c r="F460" s="16">
        <f>IF(AND(D460&lt;&gt;"",E460&lt;&gt;""),IF(ISNUMBER(E460),E460,DATEVALUE(E460))-IF(ISNUMBER(D460),D460,DATEVALUE(D460)),"")</f>
        <v/>
      </c>
    </row>
    <row r="461">
      <c r="F461" s="16">
        <f>IF(AND(D461&lt;&gt;"",E461&lt;&gt;""),IF(ISNUMBER(E461),E461,DATEVALUE(E461))-IF(ISNUMBER(D461),D461,DATEVALUE(D461)),"")</f>
        <v/>
      </c>
    </row>
    <row r="462">
      <c r="F462" s="16">
        <f>IF(AND(D462&lt;&gt;"",E462&lt;&gt;""),IF(ISNUMBER(E462),E462,DATEVALUE(E462))-IF(ISNUMBER(D462),D462,DATEVALUE(D462)),"")</f>
        <v/>
      </c>
    </row>
    <row r="463">
      <c r="F463" s="16">
        <f>IF(AND(D463&lt;&gt;"",E463&lt;&gt;""),IF(ISNUMBER(E463),E463,DATEVALUE(E463))-IF(ISNUMBER(D463),D463,DATEVALUE(D463)),"")</f>
        <v/>
      </c>
    </row>
    <row r="464">
      <c r="F464" s="16">
        <f>IF(AND(D464&lt;&gt;"",E464&lt;&gt;""),IF(ISNUMBER(E464),E464,DATEVALUE(E464))-IF(ISNUMBER(D464),D464,DATEVALUE(D464)),"")</f>
        <v/>
      </c>
    </row>
    <row r="465">
      <c r="F465" s="16">
        <f>IF(AND(D465&lt;&gt;"",E465&lt;&gt;""),IF(ISNUMBER(E465),E465,DATEVALUE(E465))-IF(ISNUMBER(D465),D465,DATEVALUE(D465)),"")</f>
        <v/>
      </c>
    </row>
    <row r="466">
      <c r="F466" s="16">
        <f>IF(AND(D466&lt;&gt;"",E466&lt;&gt;""),IF(ISNUMBER(E466),E466,DATEVALUE(E466))-IF(ISNUMBER(D466),D466,DATEVALUE(D466)),"")</f>
        <v/>
      </c>
    </row>
    <row r="467">
      <c r="F467" s="16">
        <f>IF(AND(D467&lt;&gt;"",E467&lt;&gt;""),IF(ISNUMBER(E467),E467,DATEVALUE(E467))-IF(ISNUMBER(D467),D467,DATEVALUE(D467)),"")</f>
        <v/>
      </c>
    </row>
    <row r="468">
      <c r="F468" s="16">
        <f>IF(AND(D468&lt;&gt;"",E468&lt;&gt;""),IF(ISNUMBER(E468),E468,DATEVALUE(E468))-IF(ISNUMBER(D468),D468,DATEVALUE(D468)),"")</f>
        <v/>
      </c>
    </row>
    <row r="469">
      <c r="F469" s="16">
        <f>IF(AND(D469&lt;&gt;"",E469&lt;&gt;""),IF(ISNUMBER(E469),E469,DATEVALUE(E469))-IF(ISNUMBER(D469),D469,DATEVALUE(D469)),"")</f>
        <v/>
      </c>
    </row>
    <row r="470">
      <c r="F470" s="16">
        <f>IF(AND(D470&lt;&gt;"",E470&lt;&gt;""),IF(ISNUMBER(E470),E470,DATEVALUE(E470))-IF(ISNUMBER(D470),D470,DATEVALUE(D470)),"")</f>
        <v/>
      </c>
    </row>
    <row r="471">
      <c r="F471" s="16">
        <f>IF(AND(D471&lt;&gt;"",E471&lt;&gt;""),IF(ISNUMBER(E471),E471,DATEVALUE(E471))-IF(ISNUMBER(D471),D471,DATEVALUE(D471)),"")</f>
        <v/>
      </c>
    </row>
    <row r="472">
      <c r="F472" s="16">
        <f>IF(AND(D472&lt;&gt;"",E472&lt;&gt;""),IF(ISNUMBER(E472),E472,DATEVALUE(E472))-IF(ISNUMBER(D472),D472,DATEVALUE(D472)),"")</f>
        <v/>
      </c>
    </row>
    <row r="473">
      <c r="F473" s="16">
        <f>IF(AND(D473&lt;&gt;"",E473&lt;&gt;""),IF(ISNUMBER(E473),E473,DATEVALUE(E473))-IF(ISNUMBER(D473),D473,DATEVALUE(D473)),"")</f>
        <v/>
      </c>
    </row>
    <row r="474">
      <c r="F474" s="16">
        <f>IF(AND(D474&lt;&gt;"",E474&lt;&gt;""),IF(ISNUMBER(E474),E474,DATEVALUE(E474))-IF(ISNUMBER(D474),D474,DATEVALUE(D474)),"")</f>
        <v/>
      </c>
    </row>
    <row r="475">
      <c r="F475" s="16">
        <f>IF(AND(D475&lt;&gt;"",E475&lt;&gt;""),IF(ISNUMBER(E475),E475,DATEVALUE(E475))-IF(ISNUMBER(D475),D475,DATEVALUE(D475)),"")</f>
        <v/>
      </c>
    </row>
    <row r="476">
      <c r="F476" s="16">
        <f>IF(AND(D476&lt;&gt;"",E476&lt;&gt;""),IF(ISNUMBER(E476),E476,DATEVALUE(E476))-IF(ISNUMBER(D476),D476,DATEVALUE(D476)),"")</f>
        <v/>
      </c>
    </row>
    <row r="477">
      <c r="F477" s="16">
        <f>IF(AND(D477&lt;&gt;"",E477&lt;&gt;""),IF(ISNUMBER(E477),E477,DATEVALUE(E477))-IF(ISNUMBER(D477),D477,DATEVALUE(D477)),"")</f>
        <v/>
      </c>
    </row>
    <row r="478">
      <c r="F478" s="16">
        <f>IF(AND(D478&lt;&gt;"",E478&lt;&gt;""),IF(ISNUMBER(E478),E478,DATEVALUE(E478))-IF(ISNUMBER(D478),D478,DATEVALUE(D478)),"")</f>
        <v/>
      </c>
    </row>
    <row r="479">
      <c r="F479" s="16">
        <f>IF(AND(D479&lt;&gt;"",E479&lt;&gt;""),IF(ISNUMBER(E479),E479,DATEVALUE(E479))-IF(ISNUMBER(D479),D479,DATEVALUE(D479)),"")</f>
        <v/>
      </c>
    </row>
    <row r="480">
      <c r="F480" s="16">
        <f>IF(AND(D480&lt;&gt;"",E480&lt;&gt;""),IF(ISNUMBER(E480),E480,DATEVALUE(E480))-IF(ISNUMBER(D480),D480,DATEVALUE(D480)),"")</f>
        <v/>
      </c>
    </row>
    <row r="481">
      <c r="F481" s="16">
        <f>IF(AND(D481&lt;&gt;"",E481&lt;&gt;""),IF(ISNUMBER(E481),E481,DATEVALUE(E481))-IF(ISNUMBER(D481),D481,DATEVALUE(D481)),"")</f>
        <v/>
      </c>
    </row>
    <row r="482">
      <c r="F482" s="16">
        <f>IF(AND(D482&lt;&gt;"",E482&lt;&gt;""),IF(ISNUMBER(E482),E482,DATEVALUE(E482))-IF(ISNUMBER(D482),D482,DATEVALUE(D482)),"")</f>
        <v/>
      </c>
    </row>
    <row r="483">
      <c r="F483" s="16">
        <f>IF(AND(D483&lt;&gt;"",E483&lt;&gt;""),IF(ISNUMBER(E483),E483,DATEVALUE(E483))-IF(ISNUMBER(D483),D483,DATEVALUE(D483)),"")</f>
        <v/>
      </c>
    </row>
    <row r="484">
      <c r="F484" s="16">
        <f>IF(AND(D484&lt;&gt;"",E484&lt;&gt;""),IF(ISNUMBER(E484),E484,DATEVALUE(E484))-IF(ISNUMBER(D484),D484,DATEVALUE(D484)),"")</f>
        <v/>
      </c>
    </row>
    <row r="485">
      <c r="F485" s="16">
        <f>IF(AND(D485&lt;&gt;"",E485&lt;&gt;""),IF(ISNUMBER(E485),E485,DATEVALUE(E485))-IF(ISNUMBER(D485),D485,DATEVALUE(D485)),"")</f>
        <v/>
      </c>
    </row>
    <row r="486">
      <c r="F486" s="16">
        <f>IF(AND(D486&lt;&gt;"",E486&lt;&gt;""),IF(ISNUMBER(E486),E486,DATEVALUE(E486))-IF(ISNUMBER(D486),D486,DATEVALUE(D486)),"")</f>
        <v/>
      </c>
    </row>
    <row r="487">
      <c r="F487" s="16">
        <f>IF(AND(D487&lt;&gt;"",E487&lt;&gt;""),IF(ISNUMBER(E487),E487,DATEVALUE(E487))-IF(ISNUMBER(D487),D487,DATEVALUE(D487)),"")</f>
        <v/>
      </c>
    </row>
    <row r="488">
      <c r="F488" s="16">
        <f>IF(AND(D488&lt;&gt;"",E488&lt;&gt;""),IF(ISNUMBER(E488),E488,DATEVALUE(E488))-IF(ISNUMBER(D488),D488,DATEVALUE(D488)),"")</f>
        <v/>
      </c>
    </row>
    <row r="489">
      <c r="F489" s="16">
        <f>IF(AND(D489&lt;&gt;"",E489&lt;&gt;""),IF(ISNUMBER(E489),E489,DATEVALUE(E489))-IF(ISNUMBER(D489),D489,DATEVALUE(D489)),"")</f>
        <v/>
      </c>
    </row>
    <row r="490">
      <c r="F490" s="16">
        <f>IF(AND(D490&lt;&gt;"",E490&lt;&gt;""),IF(ISNUMBER(E490),E490,DATEVALUE(E490))-IF(ISNUMBER(D490),D490,DATEVALUE(D490)),"")</f>
        <v/>
      </c>
    </row>
    <row r="491">
      <c r="F491" s="16">
        <f>IF(AND(D491&lt;&gt;"",E491&lt;&gt;""),IF(ISNUMBER(E491),E491,DATEVALUE(E491))-IF(ISNUMBER(D491),D491,DATEVALUE(D491)),"")</f>
        <v/>
      </c>
    </row>
    <row r="492">
      <c r="F492" s="16">
        <f>IF(AND(D492&lt;&gt;"",E492&lt;&gt;""),IF(ISNUMBER(E492),E492,DATEVALUE(E492))-IF(ISNUMBER(D492),D492,DATEVALUE(D492)),"")</f>
        <v/>
      </c>
    </row>
    <row r="493">
      <c r="F493" s="16">
        <f>IF(AND(D493&lt;&gt;"",E493&lt;&gt;""),IF(ISNUMBER(E493),E493,DATEVALUE(E493))-IF(ISNUMBER(D493),D493,DATEVALUE(D493)),"")</f>
        <v/>
      </c>
    </row>
    <row r="494">
      <c r="F494" s="16">
        <f>IF(AND(D494&lt;&gt;"",E494&lt;&gt;""),IF(ISNUMBER(E494),E494,DATEVALUE(E494))-IF(ISNUMBER(D494),D494,DATEVALUE(D494)),"")</f>
        <v/>
      </c>
    </row>
    <row r="495">
      <c r="F495" s="16">
        <f>IF(AND(D495&lt;&gt;"",E495&lt;&gt;""),IF(ISNUMBER(E495),E495,DATEVALUE(E495))-IF(ISNUMBER(D495),D495,DATEVALUE(D495)),"")</f>
        <v/>
      </c>
    </row>
    <row r="496">
      <c r="F496" s="16">
        <f>IF(AND(D496&lt;&gt;"",E496&lt;&gt;""),IF(ISNUMBER(E496),E496,DATEVALUE(E496))-IF(ISNUMBER(D496),D496,DATEVALUE(D496)),"")</f>
        <v/>
      </c>
    </row>
    <row r="497">
      <c r="F497" s="16">
        <f>IF(AND(D497&lt;&gt;"",E497&lt;&gt;""),IF(ISNUMBER(E497),E497,DATEVALUE(E497))-IF(ISNUMBER(D497),D497,DATEVALUE(D497)),"")</f>
        <v/>
      </c>
    </row>
    <row r="498">
      <c r="F498" s="16">
        <f>IF(AND(D498&lt;&gt;"",E498&lt;&gt;""),IF(ISNUMBER(E498),E498,DATEVALUE(E498))-IF(ISNUMBER(D498),D498,DATEVALUE(D498)),"")</f>
        <v/>
      </c>
    </row>
    <row r="499">
      <c r="F499" s="16">
        <f>IF(AND(D499&lt;&gt;"",E499&lt;&gt;""),IF(ISNUMBER(E499),E499,DATEVALUE(E499))-IF(ISNUMBER(D499),D499,DATEVALUE(D499)),"")</f>
        <v/>
      </c>
    </row>
  </sheetData>
  <mergeCells count="1">
    <mergeCell ref="A1:I1"/>
  </mergeCells>
  <dataValidations count="3">
    <dataValidation sqref="B3:B500" showDropDown="0" showInputMessage="0" showErrorMessage="1" allowBlank="1" errorTitle="Valor no válido" error="Elija un valor de la lista desplegable." type="list">
      <formula1>=LISTAS!$I$2:$I$7</formula1>
    </dataValidation>
    <dataValidation sqref="G3:G500" showDropDown="0" showInputMessage="0" showErrorMessage="1" allowBlank="1" error="Número mayor o igual a 0." type="decimal" operator="greaterThanOrEqual">
      <formula1>0</formula1>
    </dataValidation>
    <dataValidation sqref="H3:H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2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</cols>
  <sheetData>
    <row r="1">
      <c r="A1" s="7" t="inlineStr">
        <is>
          <t>COMPRAS · El proceso 2 (compra de material) es de los de mayor variación de plazo.  (Compras · por orden de compra)</t>
        </is>
      </c>
    </row>
    <row r="2" ht="42" customHeight="1">
      <c r="A2" s="8" t="inlineStr">
        <is>
          <t>Código OT</t>
        </is>
      </c>
      <c r="B2" s="8" t="inlineStr">
        <is>
          <t>N° OC</t>
        </is>
      </c>
      <c r="C2" s="8" t="inlineStr">
        <is>
          <t>Proveedor</t>
        </is>
      </c>
      <c r="D2" s="8" t="inlineStr">
        <is>
          <t>Perfil / material</t>
        </is>
      </c>
      <c r="E2" s="8" t="inlineStr">
        <is>
          <t>Kg</t>
        </is>
      </c>
      <c r="F2" s="8" t="inlineStr">
        <is>
          <t>Fecha pedido</t>
        </is>
      </c>
      <c r="G2" s="8" t="inlineStr">
        <is>
          <t>Fecha prometida</t>
        </is>
      </c>
      <c r="H2" s="8" t="inlineStr">
        <is>
          <t>Fecha recepción</t>
        </is>
      </c>
      <c r="I2" s="14" t="inlineStr">
        <is>
          <t>Días de atraso</t>
        </is>
      </c>
      <c r="J2" s="8" t="inlineStr">
        <is>
          <t>N° certificado / colada</t>
        </is>
      </c>
    </row>
    <row r="3">
      <c r="A3" s="9" t="inlineStr">
        <is>
          <t>OT-2026-015</t>
        </is>
      </c>
      <c r="B3" s="9" t="inlineStr">
        <is>
          <t>OC-0451</t>
        </is>
      </c>
      <c r="C3" s="9" t="inlineStr">
        <is>
          <t>Proveedor acero</t>
        </is>
      </c>
      <c r="D3" s="9" t="inlineStr">
        <is>
          <t>W8x31 ASTM A572</t>
        </is>
      </c>
      <c r="E3" s="9" t="n">
        <v>5200</v>
      </c>
      <c r="F3" s="9" t="inlineStr">
        <is>
          <t>2026-10-16</t>
        </is>
      </c>
      <c r="G3" s="9" t="inlineStr">
        <is>
          <t>2026-10-21</t>
        </is>
      </c>
      <c r="H3" s="9" t="inlineStr">
        <is>
          <t>2026-10-23</t>
        </is>
      </c>
      <c r="I3" s="15">
        <f>IF(AND(G3&lt;&gt;"",H3&lt;&gt;""),MAX(0,IF(ISNUMBER(H3),H3,DATEVALUE(H3))-IF(ISNUMBER(G3),G3,DATEVALUE(G3))),"")</f>
        <v/>
      </c>
      <c r="J3" s="9" t="inlineStr">
        <is>
          <t>Colada 23GG039</t>
        </is>
      </c>
      <c r="K3" s="11" t="inlineStr">
        <is>
          <t>← EJEMPLO: borrar esta fila</t>
        </is>
      </c>
    </row>
    <row r="4">
      <c r="I4" s="16">
        <f>IF(AND(G4&lt;&gt;"",H4&lt;&gt;""),MAX(0,IF(ISNUMBER(H4),H4,DATEVALUE(H4))-IF(ISNUMBER(G4),G4,DATEVALUE(G4))),"")</f>
        <v/>
      </c>
    </row>
    <row r="5">
      <c r="I5" s="16">
        <f>IF(AND(G5&lt;&gt;"",H5&lt;&gt;""),MAX(0,IF(ISNUMBER(H5),H5,DATEVALUE(H5))-IF(ISNUMBER(G5),G5,DATEVALUE(G5))),"")</f>
        <v/>
      </c>
    </row>
    <row r="6">
      <c r="I6" s="16">
        <f>IF(AND(G6&lt;&gt;"",H6&lt;&gt;""),MAX(0,IF(ISNUMBER(H6),H6,DATEVALUE(H6))-IF(ISNUMBER(G6),G6,DATEVALUE(G6))),"")</f>
        <v/>
      </c>
    </row>
    <row r="7">
      <c r="I7" s="16">
        <f>IF(AND(G7&lt;&gt;"",H7&lt;&gt;""),MAX(0,IF(ISNUMBER(H7),H7,DATEVALUE(H7))-IF(ISNUMBER(G7),G7,DATEVALUE(G7))),"")</f>
        <v/>
      </c>
    </row>
    <row r="8">
      <c r="I8" s="16">
        <f>IF(AND(G8&lt;&gt;"",H8&lt;&gt;""),MAX(0,IF(ISNUMBER(H8),H8,DATEVALUE(H8))-IF(ISNUMBER(G8),G8,DATEVALUE(G8))),"")</f>
        <v/>
      </c>
    </row>
    <row r="9">
      <c r="I9" s="16">
        <f>IF(AND(G9&lt;&gt;"",H9&lt;&gt;""),MAX(0,IF(ISNUMBER(H9),H9,DATEVALUE(H9))-IF(ISNUMBER(G9),G9,DATEVALUE(G9))),"")</f>
        <v/>
      </c>
    </row>
    <row r="10">
      <c r="I10" s="16">
        <f>IF(AND(G10&lt;&gt;"",H10&lt;&gt;""),MAX(0,IF(ISNUMBER(H10),H10,DATEVALUE(H10))-IF(ISNUMBER(G10),G10,DATEVALUE(G10))),"")</f>
        <v/>
      </c>
    </row>
    <row r="11">
      <c r="I11" s="16">
        <f>IF(AND(G11&lt;&gt;"",H11&lt;&gt;""),MAX(0,IF(ISNUMBER(H11),H11,DATEVALUE(H11))-IF(ISNUMBER(G11),G11,DATEVALUE(G11))),"")</f>
        <v/>
      </c>
    </row>
    <row r="12">
      <c r="I12" s="16">
        <f>IF(AND(G12&lt;&gt;"",H12&lt;&gt;""),MAX(0,IF(ISNUMBER(H12),H12,DATEVALUE(H12))-IF(ISNUMBER(G12),G12,DATEVALUE(G12))),"")</f>
        <v/>
      </c>
    </row>
    <row r="13">
      <c r="I13" s="16">
        <f>IF(AND(G13&lt;&gt;"",H13&lt;&gt;""),MAX(0,IF(ISNUMBER(H13),H13,DATEVALUE(H13))-IF(ISNUMBER(G13),G13,DATEVALUE(G13))),"")</f>
        <v/>
      </c>
    </row>
    <row r="14">
      <c r="I14" s="16">
        <f>IF(AND(G14&lt;&gt;"",H14&lt;&gt;""),MAX(0,IF(ISNUMBER(H14),H14,DATEVALUE(H14))-IF(ISNUMBER(G14),G14,DATEVALUE(G14))),"")</f>
        <v/>
      </c>
    </row>
    <row r="15">
      <c r="I15" s="16">
        <f>IF(AND(G15&lt;&gt;"",H15&lt;&gt;""),MAX(0,IF(ISNUMBER(H15),H15,DATEVALUE(H15))-IF(ISNUMBER(G15),G15,DATEVALUE(G15))),"")</f>
        <v/>
      </c>
    </row>
    <row r="16">
      <c r="I16" s="16">
        <f>IF(AND(G16&lt;&gt;"",H16&lt;&gt;""),MAX(0,IF(ISNUMBER(H16),H16,DATEVALUE(H16))-IF(ISNUMBER(G16),G16,DATEVALUE(G16))),"")</f>
        <v/>
      </c>
    </row>
    <row r="17">
      <c r="I17" s="16">
        <f>IF(AND(G17&lt;&gt;"",H17&lt;&gt;""),MAX(0,IF(ISNUMBER(H17),H17,DATEVALUE(H17))-IF(ISNUMBER(G17),G17,DATEVALUE(G17))),"")</f>
        <v/>
      </c>
    </row>
    <row r="18">
      <c r="I18" s="16">
        <f>IF(AND(G18&lt;&gt;"",H18&lt;&gt;""),MAX(0,IF(ISNUMBER(H18),H18,DATEVALUE(H18))-IF(ISNUMBER(G18),G18,DATEVALUE(G18))),"")</f>
        <v/>
      </c>
    </row>
    <row r="19">
      <c r="I19" s="16">
        <f>IF(AND(G19&lt;&gt;"",H19&lt;&gt;""),MAX(0,IF(ISNUMBER(H19),H19,DATEVALUE(H19))-IF(ISNUMBER(G19),G19,DATEVALUE(G19))),"")</f>
        <v/>
      </c>
    </row>
    <row r="20">
      <c r="I20" s="16">
        <f>IF(AND(G20&lt;&gt;"",H20&lt;&gt;""),MAX(0,IF(ISNUMBER(H20),H20,DATEVALUE(H20))-IF(ISNUMBER(G20),G20,DATEVALUE(G20))),"")</f>
        <v/>
      </c>
    </row>
    <row r="21">
      <c r="I21" s="16">
        <f>IF(AND(G21&lt;&gt;"",H21&lt;&gt;""),MAX(0,IF(ISNUMBER(H21),H21,DATEVALUE(H21))-IF(ISNUMBER(G21),G21,DATEVALUE(G21))),"")</f>
        <v/>
      </c>
    </row>
    <row r="22">
      <c r="I22" s="16">
        <f>IF(AND(G22&lt;&gt;"",H22&lt;&gt;""),MAX(0,IF(ISNUMBER(H22),H22,DATEVALUE(H22))-IF(ISNUMBER(G22),G22,DATEVALUE(G22))),"")</f>
        <v/>
      </c>
    </row>
    <row r="23">
      <c r="I23" s="16">
        <f>IF(AND(G23&lt;&gt;"",H23&lt;&gt;""),MAX(0,IF(ISNUMBER(H23),H23,DATEVALUE(H23))-IF(ISNUMBER(G23),G23,DATEVALUE(G23))),"")</f>
        <v/>
      </c>
    </row>
    <row r="24">
      <c r="I24" s="16">
        <f>IF(AND(G24&lt;&gt;"",H24&lt;&gt;""),MAX(0,IF(ISNUMBER(H24),H24,DATEVALUE(H24))-IF(ISNUMBER(G24),G24,DATEVALUE(G24))),"")</f>
        <v/>
      </c>
    </row>
    <row r="25">
      <c r="I25" s="16">
        <f>IF(AND(G25&lt;&gt;"",H25&lt;&gt;""),MAX(0,IF(ISNUMBER(H25),H25,DATEVALUE(H25))-IF(ISNUMBER(G25),G25,DATEVALUE(G25))),"")</f>
        <v/>
      </c>
    </row>
    <row r="26">
      <c r="I26" s="16">
        <f>IF(AND(G26&lt;&gt;"",H26&lt;&gt;""),MAX(0,IF(ISNUMBER(H26),H26,DATEVALUE(H26))-IF(ISNUMBER(G26),G26,DATEVALUE(G26))),"")</f>
        <v/>
      </c>
    </row>
    <row r="27">
      <c r="I27" s="16">
        <f>IF(AND(G27&lt;&gt;"",H27&lt;&gt;""),MAX(0,IF(ISNUMBER(H27),H27,DATEVALUE(H27))-IF(ISNUMBER(G27),G27,DATEVALUE(G27))),"")</f>
        <v/>
      </c>
    </row>
    <row r="28">
      <c r="I28" s="16">
        <f>IF(AND(G28&lt;&gt;"",H28&lt;&gt;""),MAX(0,IF(ISNUMBER(H28),H28,DATEVALUE(H28))-IF(ISNUMBER(G28),G28,DATEVALUE(G28))),"")</f>
        <v/>
      </c>
    </row>
    <row r="29">
      <c r="I29" s="16">
        <f>IF(AND(G29&lt;&gt;"",H29&lt;&gt;""),MAX(0,IF(ISNUMBER(H29),H29,DATEVALUE(H29))-IF(ISNUMBER(G29),G29,DATEVALUE(G29))),"")</f>
        <v/>
      </c>
    </row>
    <row r="30">
      <c r="I30" s="16">
        <f>IF(AND(G30&lt;&gt;"",H30&lt;&gt;""),MAX(0,IF(ISNUMBER(H30),H30,DATEVALUE(H30))-IF(ISNUMBER(G30),G30,DATEVALUE(G30))),"")</f>
        <v/>
      </c>
    </row>
    <row r="31">
      <c r="I31" s="16">
        <f>IF(AND(G31&lt;&gt;"",H31&lt;&gt;""),MAX(0,IF(ISNUMBER(H31),H31,DATEVALUE(H31))-IF(ISNUMBER(G31),G31,DATEVALUE(G31))),"")</f>
        <v/>
      </c>
    </row>
    <row r="32">
      <c r="I32" s="16">
        <f>IF(AND(G32&lt;&gt;"",H32&lt;&gt;""),MAX(0,IF(ISNUMBER(H32),H32,DATEVALUE(H32))-IF(ISNUMBER(G32),G32,DATEVALUE(G32))),"")</f>
        <v/>
      </c>
    </row>
    <row r="33">
      <c r="I33" s="16">
        <f>IF(AND(G33&lt;&gt;"",H33&lt;&gt;""),MAX(0,IF(ISNUMBER(H33),H33,DATEVALUE(H33))-IF(ISNUMBER(G33),G33,DATEVALUE(G33))),"")</f>
        <v/>
      </c>
    </row>
    <row r="34">
      <c r="I34" s="16">
        <f>IF(AND(G34&lt;&gt;"",H34&lt;&gt;""),MAX(0,IF(ISNUMBER(H34),H34,DATEVALUE(H34))-IF(ISNUMBER(G34),G34,DATEVALUE(G34))),"")</f>
        <v/>
      </c>
    </row>
    <row r="35">
      <c r="I35" s="16">
        <f>IF(AND(G35&lt;&gt;"",H35&lt;&gt;""),MAX(0,IF(ISNUMBER(H35),H35,DATEVALUE(H35))-IF(ISNUMBER(G35),G35,DATEVALUE(G35))),"")</f>
        <v/>
      </c>
    </row>
    <row r="36">
      <c r="I36" s="16">
        <f>IF(AND(G36&lt;&gt;"",H36&lt;&gt;""),MAX(0,IF(ISNUMBER(H36),H36,DATEVALUE(H36))-IF(ISNUMBER(G36),G36,DATEVALUE(G36))),"")</f>
        <v/>
      </c>
    </row>
    <row r="37">
      <c r="I37" s="16">
        <f>IF(AND(G37&lt;&gt;"",H37&lt;&gt;""),MAX(0,IF(ISNUMBER(H37),H37,DATEVALUE(H37))-IF(ISNUMBER(G37),G37,DATEVALUE(G37))),"")</f>
        <v/>
      </c>
    </row>
    <row r="38">
      <c r="I38" s="16">
        <f>IF(AND(G38&lt;&gt;"",H38&lt;&gt;""),MAX(0,IF(ISNUMBER(H38),H38,DATEVALUE(H38))-IF(ISNUMBER(G38),G38,DATEVALUE(G38))),"")</f>
        <v/>
      </c>
    </row>
    <row r="39">
      <c r="I39" s="16">
        <f>IF(AND(G39&lt;&gt;"",H39&lt;&gt;""),MAX(0,IF(ISNUMBER(H39),H39,DATEVALUE(H39))-IF(ISNUMBER(G39),G39,DATEVALUE(G39))),"")</f>
        <v/>
      </c>
    </row>
    <row r="40">
      <c r="I40" s="16">
        <f>IF(AND(G40&lt;&gt;"",H40&lt;&gt;""),MAX(0,IF(ISNUMBER(H40),H40,DATEVALUE(H40))-IF(ISNUMBER(G40),G40,DATEVALUE(G40))),"")</f>
        <v/>
      </c>
    </row>
    <row r="41">
      <c r="I41" s="16">
        <f>IF(AND(G41&lt;&gt;"",H41&lt;&gt;""),MAX(0,IF(ISNUMBER(H41),H41,DATEVALUE(H41))-IF(ISNUMBER(G41),G41,DATEVALUE(G41))),"")</f>
        <v/>
      </c>
    </row>
    <row r="42">
      <c r="I42" s="16">
        <f>IF(AND(G42&lt;&gt;"",H42&lt;&gt;""),MAX(0,IF(ISNUMBER(H42),H42,DATEVALUE(H42))-IF(ISNUMBER(G42),G42,DATEVALUE(G42))),"")</f>
        <v/>
      </c>
    </row>
    <row r="43">
      <c r="I43" s="16">
        <f>IF(AND(G43&lt;&gt;"",H43&lt;&gt;""),MAX(0,IF(ISNUMBER(H43),H43,DATEVALUE(H43))-IF(ISNUMBER(G43),G43,DATEVALUE(G43))),"")</f>
        <v/>
      </c>
    </row>
    <row r="44">
      <c r="I44" s="16">
        <f>IF(AND(G44&lt;&gt;"",H44&lt;&gt;""),MAX(0,IF(ISNUMBER(H44),H44,DATEVALUE(H44))-IF(ISNUMBER(G44),G44,DATEVALUE(G44))),"")</f>
        <v/>
      </c>
    </row>
    <row r="45">
      <c r="I45" s="16">
        <f>IF(AND(G45&lt;&gt;"",H45&lt;&gt;""),MAX(0,IF(ISNUMBER(H45),H45,DATEVALUE(H45))-IF(ISNUMBER(G45),G45,DATEVALUE(G45))),"")</f>
        <v/>
      </c>
    </row>
    <row r="46">
      <c r="I46" s="16">
        <f>IF(AND(G46&lt;&gt;"",H46&lt;&gt;""),MAX(0,IF(ISNUMBER(H46),H46,DATEVALUE(H46))-IF(ISNUMBER(G46),G46,DATEVALUE(G46))),"")</f>
        <v/>
      </c>
    </row>
    <row r="47">
      <c r="I47" s="16">
        <f>IF(AND(G47&lt;&gt;"",H47&lt;&gt;""),MAX(0,IF(ISNUMBER(H47),H47,DATEVALUE(H47))-IF(ISNUMBER(G47),G47,DATEVALUE(G47))),"")</f>
        <v/>
      </c>
    </row>
    <row r="48">
      <c r="I48" s="16">
        <f>IF(AND(G48&lt;&gt;"",H48&lt;&gt;""),MAX(0,IF(ISNUMBER(H48),H48,DATEVALUE(H48))-IF(ISNUMBER(G48),G48,DATEVALUE(G48))),"")</f>
        <v/>
      </c>
    </row>
    <row r="49">
      <c r="I49" s="16">
        <f>IF(AND(G49&lt;&gt;"",H49&lt;&gt;""),MAX(0,IF(ISNUMBER(H49),H49,DATEVALUE(H49))-IF(ISNUMBER(G49),G49,DATEVALUE(G49))),"")</f>
        <v/>
      </c>
    </row>
    <row r="50">
      <c r="I50" s="16">
        <f>IF(AND(G50&lt;&gt;"",H50&lt;&gt;""),MAX(0,IF(ISNUMBER(H50),H50,DATEVALUE(H50))-IF(ISNUMBER(G50),G50,DATEVALUE(G50))),"")</f>
        <v/>
      </c>
    </row>
    <row r="51">
      <c r="I51" s="16">
        <f>IF(AND(G51&lt;&gt;"",H51&lt;&gt;""),MAX(0,IF(ISNUMBER(H51),H51,DATEVALUE(H51))-IF(ISNUMBER(G51),G51,DATEVALUE(G51))),"")</f>
        <v/>
      </c>
    </row>
    <row r="52">
      <c r="I52" s="16">
        <f>IF(AND(G52&lt;&gt;"",H52&lt;&gt;""),MAX(0,IF(ISNUMBER(H52),H52,DATEVALUE(H52))-IF(ISNUMBER(G52),G52,DATEVALUE(G52))),"")</f>
        <v/>
      </c>
    </row>
    <row r="53">
      <c r="I53" s="16">
        <f>IF(AND(G53&lt;&gt;"",H53&lt;&gt;""),MAX(0,IF(ISNUMBER(H53),H53,DATEVALUE(H53))-IF(ISNUMBER(G53),G53,DATEVALUE(G53))),"")</f>
        <v/>
      </c>
    </row>
    <row r="54">
      <c r="I54" s="16">
        <f>IF(AND(G54&lt;&gt;"",H54&lt;&gt;""),MAX(0,IF(ISNUMBER(H54),H54,DATEVALUE(H54))-IF(ISNUMBER(G54),G54,DATEVALUE(G54))),"")</f>
        <v/>
      </c>
    </row>
    <row r="55">
      <c r="I55" s="16">
        <f>IF(AND(G55&lt;&gt;"",H55&lt;&gt;""),MAX(0,IF(ISNUMBER(H55),H55,DATEVALUE(H55))-IF(ISNUMBER(G55),G55,DATEVALUE(G55))),"")</f>
        <v/>
      </c>
    </row>
    <row r="56">
      <c r="I56" s="16">
        <f>IF(AND(G56&lt;&gt;"",H56&lt;&gt;""),MAX(0,IF(ISNUMBER(H56),H56,DATEVALUE(H56))-IF(ISNUMBER(G56),G56,DATEVALUE(G56))),"")</f>
        <v/>
      </c>
    </row>
    <row r="57">
      <c r="I57" s="16">
        <f>IF(AND(G57&lt;&gt;"",H57&lt;&gt;""),MAX(0,IF(ISNUMBER(H57),H57,DATEVALUE(H57))-IF(ISNUMBER(G57),G57,DATEVALUE(G57))),"")</f>
        <v/>
      </c>
    </row>
    <row r="58">
      <c r="I58" s="16">
        <f>IF(AND(G58&lt;&gt;"",H58&lt;&gt;""),MAX(0,IF(ISNUMBER(H58),H58,DATEVALUE(H58))-IF(ISNUMBER(G58),G58,DATEVALUE(G58))),"")</f>
        <v/>
      </c>
    </row>
    <row r="59">
      <c r="I59" s="16">
        <f>IF(AND(G59&lt;&gt;"",H59&lt;&gt;""),MAX(0,IF(ISNUMBER(H59),H59,DATEVALUE(H59))-IF(ISNUMBER(G59),G59,DATEVALUE(G59))),"")</f>
        <v/>
      </c>
    </row>
    <row r="60">
      <c r="I60" s="16">
        <f>IF(AND(G60&lt;&gt;"",H60&lt;&gt;""),MAX(0,IF(ISNUMBER(H60),H60,DATEVALUE(H60))-IF(ISNUMBER(G60),G60,DATEVALUE(G60))),"")</f>
        <v/>
      </c>
    </row>
    <row r="61">
      <c r="I61" s="16">
        <f>IF(AND(G61&lt;&gt;"",H61&lt;&gt;""),MAX(0,IF(ISNUMBER(H61),H61,DATEVALUE(H61))-IF(ISNUMBER(G61),G61,DATEVALUE(G61))),"")</f>
        <v/>
      </c>
    </row>
    <row r="62">
      <c r="I62" s="16">
        <f>IF(AND(G62&lt;&gt;"",H62&lt;&gt;""),MAX(0,IF(ISNUMBER(H62),H62,DATEVALUE(H62))-IF(ISNUMBER(G62),G62,DATEVALUE(G62))),"")</f>
        <v/>
      </c>
    </row>
    <row r="63">
      <c r="I63" s="16">
        <f>IF(AND(G63&lt;&gt;"",H63&lt;&gt;""),MAX(0,IF(ISNUMBER(H63),H63,DATEVALUE(H63))-IF(ISNUMBER(G63),G63,DATEVALUE(G63))),"")</f>
        <v/>
      </c>
    </row>
    <row r="64">
      <c r="I64" s="16">
        <f>IF(AND(G64&lt;&gt;"",H64&lt;&gt;""),MAX(0,IF(ISNUMBER(H64),H64,DATEVALUE(H64))-IF(ISNUMBER(G64),G64,DATEVALUE(G64))),"")</f>
        <v/>
      </c>
    </row>
    <row r="65">
      <c r="I65" s="16">
        <f>IF(AND(G65&lt;&gt;"",H65&lt;&gt;""),MAX(0,IF(ISNUMBER(H65),H65,DATEVALUE(H65))-IF(ISNUMBER(G65),G65,DATEVALUE(G65))),"")</f>
        <v/>
      </c>
    </row>
    <row r="66">
      <c r="I66" s="16">
        <f>IF(AND(G66&lt;&gt;"",H66&lt;&gt;""),MAX(0,IF(ISNUMBER(H66),H66,DATEVALUE(H66))-IF(ISNUMBER(G66),G66,DATEVALUE(G66))),"")</f>
        <v/>
      </c>
    </row>
    <row r="67">
      <c r="I67" s="16">
        <f>IF(AND(G67&lt;&gt;"",H67&lt;&gt;""),MAX(0,IF(ISNUMBER(H67),H67,DATEVALUE(H67))-IF(ISNUMBER(G67),G67,DATEVALUE(G67))),"")</f>
        <v/>
      </c>
    </row>
    <row r="68">
      <c r="I68" s="16">
        <f>IF(AND(G68&lt;&gt;"",H68&lt;&gt;""),MAX(0,IF(ISNUMBER(H68),H68,DATEVALUE(H68))-IF(ISNUMBER(G68),G68,DATEVALUE(G68))),"")</f>
        <v/>
      </c>
    </row>
    <row r="69">
      <c r="I69" s="16">
        <f>IF(AND(G69&lt;&gt;"",H69&lt;&gt;""),MAX(0,IF(ISNUMBER(H69),H69,DATEVALUE(H69))-IF(ISNUMBER(G69),G69,DATEVALUE(G69))),"")</f>
        <v/>
      </c>
    </row>
    <row r="70">
      <c r="I70" s="16">
        <f>IF(AND(G70&lt;&gt;"",H70&lt;&gt;""),MAX(0,IF(ISNUMBER(H70),H70,DATEVALUE(H70))-IF(ISNUMBER(G70),G70,DATEVALUE(G70))),"")</f>
        <v/>
      </c>
    </row>
    <row r="71">
      <c r="I71" s="16">
        <f>IF(AND(G71&lt;&gt;"",H71&lt;&gt;""),MAX(0,IF(ISNUMBER(H71),H71,DATEVALUE(H71))-IF(ISNUMBER(G71),G71,DATEVALUE(G71))),"")</f>
        <v/>
      </c>
    </row>
    <row r="72">
      <c r="I72" s="16">
        <f>IF(AND(G72&lt;&gt;"",H72&lt;&gt;""),MAX(0,IF(ISNUMBER(H72),H72,DATEVALUE(H72))-IF(ISNUMBER(G72),G72,DATEVALUE(G72))),"")</f>
        <v/>
      </c>
    </row>
    <row r="73">
      <c r="I73" s="16">
        <f>IF(AND(G73&lt;&gt;"",H73&lt;&gt;""),MAX(0,IF(ISNUMBER(H73),H73,DATEVALUE(H73))-IF(ISNUMBER(G73),G73,DATEVALUE(G73))),"")</f>
        <v/>
      </c>
    </row>
    <row r="74">
      <c r="I74" s="16">
        <f>IF(AND(G74&lt;&gt;"",H74&lt;&gt;""),MAX(0,IF(ISNUMBER(H74),H74,DATEVALUE(H74))-IF(ISNUMBER(G74),G74,DATEVALUE(G74))),"")</f>
        <v/>
      </c>
    </row>
    <row r="75">
      <c r="I75" s="16">
        <f>IF(AND(G75&lt;&gt;"",H75&lt;&gt;""),MAX(0,IF(ISNUMBER(H75),H75,DATEVALUE(H75))-IF(ISNUMBER(G75),G75,DATEVALUE(G75))),"")</f>
        <v/>
      </c>
    </row>
    <row r="76">
      <c r="I76" s="16">
        <f>IF(AND(G76&lt;&gt;"",H76&lt;&gt;""),MAX(0,IF(ISNUMBER(H76),H76,DATEVALUE(H76))-IF(ISNUMBER(G76),G76,DATEVALUE(G76))),"")</f>
        <v/>
      </c>
    </row>
    <row r="77">
      <c r="I77" s="16">
        <f>IF(AND(G77&lt;&gt;"",H77&lt;&gt;""),MAX(0,IF(ISNUMBER(H77),H77,DATEVALUE(H77))-IF(ISNUMBER(G77),G77,DATEVALUE(G77))),"")</f>
        <v/>
      </c>
    </row>
    <row r="78">
      <c r="I78" s="16">
        <f>IF(AND(G78&lt;&gt;"",H78&lt;&gt;""),MAX(0,IF(ISNUMBER(H78),H78,DATEVALUE(H78))-IF(ISNUMBER(G78),G78,DATEVALUE(G78))),"")</f>
        <v/>
      </c>
    </row>
    <row r="79">
      <c r="I79" s="16">
        <f>IF(AND(G79&lt;&gt;"",H79&lt;&gt;""),MAX(0,IF(ISNUMBER(H79),H79,DATEVALUE(H79))-IF(ISNUMBER(G79),G79,DATEVALUE(G79))),"")</f>
        <v/>
      </c>
    </row>
    <row r="80">
      <c r="I80" s="16">
        <f>IF(AND(G80&lt;&gt;"",H80&lt;&gt;""),MAX(0,IF(ISNUMBER(H80),H80,DATEVALUE(H80))-IF(ISNUMBER(G80),G80,DATEVALUE(G80))),"")</f>
        <v/>
      </c>
    </row>
    <row r="81">
      <c r="I81" s="16">
        <f>IF(AND(G81&lt;&gt;"",H81&lt;&gt;""),MAX(0,IF(ISNUMBER(H81),H81,DATEVALUE(H81))-IF(ISNUMBER(G81),G81,DATEVALUE(G81))),"")</f>
        <v/>
      </c>
    </row>
    <row r="82">
      <c r="I82" s="16">
        <f>IF(AND(G82&lt;&gt;"",H82&lt;&gt;""),MAX(0,IF(ISNUMBER(H82),H82,DATEVALUE(H82))-IF(ISNUMBER(G82),G82,DATEVALUE(G82))),"")</f>
        <v/>
      </c>
    </row>
    <row r="83">
      <c r="I83" s="16">
        <f>IF(AND(G83&lt;&gt;"",H83&lt;&gt;""),MAX(0,IF(ISNUMBER(H83),H83,DATEVALUE(H83))-IF(ISNUMBER(G83),G83,DATEVALUE(G83))),"")</f>
        <v/>
      </c>
    </row>
    <row r="84">
      <c r="I84" s="16">
        <f>IF(AND(G84&lt;&gt;"",H84&lt;&gt;""),MAX(0,IF(ISNUMBER(H84),H84,DATEVALUE(H84))-IF(ISNUMBER(G84),G84,DATEVALUE(G84))),"")</f>
        <v/>
      </c>
    </row>
    <row r="85">
      <c r="I85" s="16">
        <f>IF(AND(G85&lt;&gt;"",H85&lt;&gt;""),MAX(0,IF(ISNUMBER(H85),H85,DATEVALUE(H85))-IF(ISNUMBER(G85),G85,DATEVALUE(G85))),"")</f>
        <v/>
      </c>
    </row>
    <row r="86">
      <c r="I86" s="16">
        <f>IF(AND(G86&lt;&gt;"",H86&lt;&gt;""),MAX(0,IF(ISNUMBER(H86),H86,DATEVALUE(H86))-IF(ISNUMBER(G86),G86,DATEVALUE(G86))),"")</f>
        <v/>
      </c>
    </row>
    <row r="87">
      <c r="I87" s="16">
        <f>IF(AND(G87&lt;&gt;"",H87&lt;&gt;""),MAX(0,IF(ISNUMBER(H87),H87,DATEVALUE(H87))-IF(ISNUMBER(G87),G87,DATEVALUE(G87))),"")</f>
        <v/>
      </c>
    </row>
    <row r="88">
      <c r="I88" s="16">
        <f>IF(AND(G88&lt;&gt;"",H88&lt;&gt;""),MAX(0,IF(ISNUMBER(H88),H88,DATEVALUE(H88))-IF(ISNUMBER(G88),G88,DATEVALUE(G88))),"")</f>
        <v/>
      </c>
    </row>
    <row r="89">
      <c r="I89" s="16">
        <f>IF(AND(G89&lt;&gt;"",H89&lt;&gt;""),MAX(0,IF(ISNUMBER(H89),H89,DATEVALUE(H89))-IF(ISNUMBER(G89),G89,DATEVALUE(G89))),"")</f>
        <v/>
      </c>
    </row>
    <row r="90">
      <c r="I90" s="16">
        <f>IF(AND(G90&lt;&gt;"",H90&lt;&gt;""),MAX(0,IF(ISNUMBER(H90),H90,DATEVALUE(H90))-IF(ISNUMBER(G90),G90,DATEVALUE(G90))),"")</f>
        <v/>
      </c>
    </row>
    <row r="91">
      <c r="I91" s="16">
        <f>IF(AND(G91&lt;&gt;"",H91&lt;&gt;""),MAX(0,IF(ISNUMBER(H91),H91,DATEVALUE(H91))-IF(ISNUMBER(G91),G91,DATEVALUE(G91))),"")</f>
        <v/>
      </c>
    </row>
    <row r="92">
      <c r="I92" s="16">
        <f>IF(AND(G92&lt;&gt;"",H92&lt;&gt;""),MAX(0,IF(ISNUMBER(H92),H92,DATEVALUE(H92))-IF(ISNUMBER(G92),G92,DATEVALUE(G92))),"")</f>
        <v/>
      </c>
    </row>
    <row r="93">
      <c r="I93" s="16">
        <f>IF(AND(G93&lt;&gt;"",H93&lt;&gt;""),MAX(0,IF(ISNUMBER(H93),H93,DATEVALUE(H93))-IF(ISNUMBER(G93),G93,DATEVALUE(G93))),"")</f>
        <v/>
      </c>
    </row>
    <row r="94">
      <c r="I94" s="16">
        <f>IF(AND(G94&lt;&gt;"",H94&lt;&gt;""),MAX(0,IF(ISNUMBER(H94),H94,DATEVALUE(H94))-IF(ISNUMBER(G94),G94,DATEVALUE(G94))),"")</f>
        <v/>
      </c>
    </row>
    <row r="95">
      <c r="I95" s="16">
        <f>IF(AND(G95&lt;&gt;"",H95&lt;&gt;""),MAX(0,IF(ISNUMBER(H95),H95,DATEVALUE(H95))-IF(ISNUMBER(G95),G95,DATEVALUE(G95))),"")</f>
        <v/>
      </c>
    </row>
    <row r="96">
      <c r="I96" s="16">
        <f>IF(AND(G96&lt;&gt;"",H96&lt;&gt;""),MAX(0,IF(ISNUMBER(H96),H96,DATEVALUE(H96))-IF(ISNUMBER(G96),G96,DATEVALUE(G96))),"")</f>
        <v/>
      </c>
    </row>
    <row r="97">
      <c r="I97" s="16">
        <f>IF(AND(G97&lt;&gt;"",H97&lt;&gt;""),MAX(0,IF(ISNUMBER(H97),H97,DATEVALUE(H97))-IF(ISNUMBER(G97),G97,DATEVALUE(G97))),"")</f>
        <v/>
      </c>
    </row>
    <row r="98">
      <c r="I98" s="16">
        <f>IF(AND(G98&lt;&gt;"",H98&lt;&gt;""),MAX(0,IF(ISNUMBER(H98),H98,DATEVALUE(H98))-IF(ISNUMBER(G98),G98,DATEVALUE(G98))),"")</f>
        <v/>
      </c>
    </row>
    <row r="99">
      <c r="I99" s="16">
        <f>IF(AND(G99&lt;&gt;"",H99&lt;&gt;""),MAX(0,IF(ISNUMBER(H99),H99,DATEVALUE(H99))-IF(ISNUMBER(G99),G99,DATEVALUE(G99))),"")</f>
        <v/>
      </c>
    </row>
    <row r="100">
      <c r="I100" s="16">
        <f>IF(AND(G100&lt;&gt;"",H100&lt;&gt;""),MAX(0,IF(ISNUMBER(H100),H100,DATEVALUE(H100))-IF(ISNUMBER(G100),G100,DATEVALUE(G100))),"")</f>
        <v/>
      </c>
    </row>
    <row r="101">
      <c r="I101" s="16">
        <f>IF(AND(G101&lt;&gt;"",H101&lt;&gt;""),MAX(0,IF(ISNUMBER(H101),H101,DATEVALUE(H101))-IF(ISNUMBER(G101),G101,DATEVALUE(G101))),"")</f>
        <v/>
      </c>
    </row>
    <row r="102">
      <c r="I102" s="16">
        <f>IF(AND(G102&lt;&gt;"",H102&lt;&gt;""),MAX(0,IF(ISNUMBER(H102),H102,DATEVALUE(H102))-IF(ISNUMBER(G102),G102,DATEVALUE(G102))),"")</f>
        <v/>
      </c>
    </row>
    <row r="103">
      <c r="I103" s="16">
        <f>IF(AND(G103&lt;&gt;"",H103&lt;&gt;""),MAX(0,IF(ISNUMBER(H103),H103,DATEVALUE(H103))-IF(ISNUMBER(G103),G103,DATEVALUE(G103))),"")</f>
        <v/>
      </c>
    </row>
    <row r="104">
      <c r="I104" s="16">
        <f>IF(AND(G104&lt;&gt;"",H104&lt;&gt;""),MAX(0,IF(ISNUMBER(H104),H104,DATEVALUE(H104))-IF(ISNUMBER(G104),G104,DATEVALUE(G104))),"")</f>
        <v/>
      </c>
    </row>
    <row r="105">
      <c r="I105" s="16">
        <f>IF(AND(G105&lt;&gt;"",H105&lt;&gt;""),MAX(0,IF(ISNUMBER(H105),H105,DATEVALUE(H105))-IF(ISNUMBER(G105),G105,DATEVALUE(G105))),"")</f>
        <v/>
      </c>
    </row>
    <row r="106">
      <c r="I106" s="16">
        <f>IF(AND(G106&lt;&gt;"",H106&lt;&gt;""),MAX(0,IF(ISNUMBER(H106),H106,DATEVALUE(H106))-IF(ISNUMBER(G106),G106,DATEVALUE(G106))),"")</f>
        <v/>
      </c>
    </row>
    <row r="107">
      <c r="I107" s="16">
        <f>IF(AND(G107&lt;&gt;"",H107&lt;&gt;""),MAX(0,IF(ISNUMBER(H107),H107,DATEVALUE(H107))-IF(ISNUMBER(G107),G107,DATEVALUE(G107))),"")</f>
        <v/>
      </c>
    </row>
    <row r="108">
      <c r="I108" s="16">
        <f>IF(AND(G108&lt;&gt;"",H108&lt;&gt;""),MAX(0,IF(ISNUMBER(H108),H108,DATEVALUE(H108))-IF(ISNUMBER(G108),G108,DATEVALUE(G108))),"")</f>
        <v/>
      </c>
    </row>
    <row r="109">
      <c r="I109" s="16">
        <f>IF(AND(G109&lt;&gt;"",H109&lt;&gt;""),MAX(0,IF(ISNUMBER(H109),H109,DATEVALUE(H109))-IF(ISNUMBER(G109),G109,DATEVALUE(G109))),"")</f>
        <v/>
      </c>
    </row>
    <row r="110">
      <c r="I110" s="16">
        <f>IF(AND(G110&lt;&gt;"",H110&lt;&gt;""),MAX(0,IF(ISNUMBER(H110),H110,DATEVALUE(H110))-IF(ISNUMBER(G110),G110,DATEVALUE(G110))),"")</f>
        <v/>
      </c>
    </row>
    <row r="111">
      <c r="I111" s="16">
        <f>IF(AND(G111&lt;&gt;"",H111&lt;&gt;""),MAX(0,IF(ISNUMBER(H111),H111,DATEVALUE(H111))-IF(ISNUMBER(G111),G111,DATEVALUE(G111))),"")</f>
        <v/>
      </c>
    </row>
    <row r="112">
      <c r="I112" s="16">
        <f>IF(AND(G112&lt;&gt;"",H112&lt;&gt;""),MAX(0,IF(ISNUMBER(H112),H112,DATEVALUE(H112))-IF(ISNUMBER(G112),G112,DATEVALUE(G112))),"")</f>
        <v/>
      </c>
    </row>
    <row r="113">
      <c r="I113" s="16">
        <f>IF(AND(G113&lt;&gt;"",H113&lt;&gt;""),MAX(0,IF(ISNUMBER(H113),H113,DATEVALUE(H113))-IF(ISNUMBER(G113),G113,DATEVALUE(G113))),"")</f>
        <v/>
      </c>
    </row>
    <row r="114">
      <c r="I114" s="16">
        <f>IF(AND(G114&lt;&gt;"",H114&lt;&gt;""),MAX(0,IF(ISNUMBER(H114),H114,DATEVALUE(H114))-IF(ISNUMBER(G114),G114,DATEVALUE(G114))),"")</f>
        <v/>
      </c>
    </row>
    <row r="115">
      <c r="I115" s="16">
        <f>IF(AND(G115&lt;&gt;"",H115&lt;&gt;""),MAX(0,IF(ISNUMBER(H115),H115,DATEVALUE(H115))-IF(ISNUMBER(G115),G115,DATEVALUE(G115))),"")</f>
        <v/>
      </c>
    </row>
    <row r="116">
      <c r="I116" s="16">
        <f>IF(AND(G116&lt;&gt;"",H116&lt;&gt;""),MAX(0,IF(ISNUMBER(H116),H116,DATEVALUE(H116))-IF(ISNUMBER(G116),G116,DATEVALUE(G116))),"")</f>
        <v/>
      </c>
    </row>
    <row r="117">
      <c r="I117" s="16">
        <f>IF(AND(G117&lt;&gt;"",H117&lt;&gt;""),MAX(0,IF(ISNUMBER(H117),H117,DATEVALUE(H117))-IF(ISNUMBER(G117),G117,DATEVALUE(G117))),"")</f>
        <v/>
      </c>
    </row>
    <row r="118">
      <c r="I118" s="16">
        <f>IF(AND(G118&lt;&gt;"",H118&lt;&gt;""),MAX(0,IF(ISNUMBER(H118),H118,DATEVALUE(H118))-IF(ISNUMBER(G118),G118,DATEVALUE(G118))),"")</f>
        <v/>
      </c>
    </row>
    <row r="119">
      <c r="I119" s="16">
        <f>IF(AND(G119&lt;&gt;"",H119&lt;&gt;""),MAX(0,IF(ISNUMBER(H119),H119,DATEVALUE(H119))-IF(ISNUMBER(G119),G119,DATEVALUE(G119))),"")</f>
        <v/>
      </c>
    </row>
    <row r="120">
      <c r="I120" s="16">
        <f>IF(AND(G120&lt;&gt;"",H120&lt;&gt;""),MAX(0,IF(ISNUMBER(H120),H120,DATEVALUE(H120))-IF(ISNUMBER(G120),G120,DATEVALUE(G120))),"")</f>
        <v/>
      </c>
    </row>
    <row r="121">
      <c r="I121" s="16">
        <f>IF(AND(G121&lt;&gt;"",H121&lt;&gt;""),MAX(0,IF(ISNUMBER(H121),H121,DATEVALUE(H121))-IF(ISNUMBER(G121),G121,DATEVALUE(G121))),"")</f>
        <v/>
      </c>
    </row>
    <row r="122">
      <c r="I122" s="16">
        <f>IF(AND(G122&lt;&gt;"",H122&lt;&gt;""),MAX(0,IF(ISNUMBER(H122),H122,DATEVALUE(H122))-IF(ISNUMBER(G122),G122,DATEVALUE(G122))),"")</f>
        <v/>
      </c>
    </row>
    <row r="123">
      <c r="I123" s="16">
        <f>IF(AND(G123&lt;&gt;"",H123&lt;&gt;""),MAX(0,IF(ISNUMBER(H123),H123,DATEVALUE(H123))-IF(ISNUMBER(G123),G123,DATEVALUE(G123))),"")</f>
        <v/>
      </c>
    </row>
    <row r="124">
      <c r="I124" s="16">
        <f>IF(AND(G124&lt;&gt;"",H124&lt;&gt;""),MAX(0,IF(ISNUMBER(H124),H124,DATEVALUE(H124))-IF(ISNUMBER(G124),G124,DATEVALUE(G124))),"")</f>
        <v/>
      </c>
    </row>
    <row r="125">
      <c r="I125" s="16">
        <f>IF(AND(G125&lt;&gt;"",H125&lt;&gt;""),MAX(0,IF(ISNUMBER(H125),H125,DATEVALUE(H125))-IF(ISNUMBER(G125),G125,DATEVALUE(G125))),"")</f>
        <v/>
      </c>
    </row>
    <row r="126">
      <c r="I126" s="16">
        <f>IF(AND(G126&lt;&gt;"",H126&lt;&gt;""),MAX(0,IF(ISNUMBER(H126),H126,DATEVALUE(H126))-IF(ISNUMBER(G126),G126,DATEVALUE(G126))),"")</f>
        <v/>
      </c>
    </row>
    <row r="127">
      <c r="I127" s="16">
        <f>IF(AND(G127&lt;&gt;"",H127&lt;&gt;""),MAX(0,IF(ISNUMBER(H127),H127,DATEVALUE(H127))-IF(ISNUMBER(G127),G127,DATEVALUE(G127))),"")</f>
        <v/>
      </c>
    </row>
    <row r="128">
      <c r="I128" s="16">
        <f>IF(AND(G128&lt;&gt;"",H128&lt;&gt;""),MAX(0,IF(ISNUMBER(H128),H128,DATEVALUE(H128))-IF(ISNUMBER(G128),G128,DATEVALUE(G128))),"")</f>
        <v/>
      </c>
    </row>
    <row r="129">
      <c r="I129" s="16">
        <f>IF(AND(G129&lt;&gt;"",H129&lt;&gt;""),MAX(0,IF(ISNUMBER(H129),H129,DATEVALUE(H129))-IF(ISNUMBER(G129),G129,DATEVALUE(G129))),"")</f>
        <v/>
      </c>
    </row>
    <row r="130">
      <c r="I130" s="16">
        <f>IF(AND(G130&lt;&gt;"",H130&lt;&gt;""),MAX(0,IF(ISNUMBER(H130),H130,DATEVALUE(H130))-IF(ISNUMBER(G130),G130,DATEVALUE(G130))),"")</f>
        <v/>
      </c>
    </row>
    <row r="131">
      <c r="I131" s="16">
        <f>IF(AND(G131&lt;&gt;"",H131&lt;&gt;""),MAX(0,IF(ISNUMBER(H131),H131,DATEVALUE(H131))-IF(ISNUMBER(G131),G131,DATEVALUE(G131))),"")</f>
        <v/>
      </c>
    </row>
    <row r="132">
      <c r="I132" s="16">
        <f>IF(AND(G132&lt;&gt;"",H132&lt;&gt;""),MAX(0,IF(ISNUMBER(H132),H132,DATEVALUE(H132))-IF(ISNUMBER(G132),G132,DATEVALUE(G132))),"")</f>
        <v/>
      </c>
    </row>
    <row r="133">
      <c r="I133" s="16">
        <f>IF(AND(G133&lt;&gt;"",H133&lt;&gt;""),MAX(0,IF(ISNUMBER(H133),H133,DATEVALUE(H133))-IF(ISNUMBER(G133),G133,DATEVALUE(G133))),"")</f>
        <v/>
      </c>
    </row>
    <row r="134">
      <c r="I134" s="16">
        <f>IF(AND(G134&lt;&gt;"",H134&lt;&gt;""),MAX(0,IF(ISNUMBER(H134),H134,DATEVALUE(H134))-IF(ISNUMBER(G134),G134,DATEVALUE(G134))),"")</f>
        <v/>
      </c>
    </row>
    <row r="135">
      <c r="I135" s="16">
        <f>IF(AND(G135&lt;&gt;"",H135&lt;&gt;""),MAX(0,IF(ISNUMBER(H135),H135,DATEVALUE(H135))-IF(ISNUMBER(G135),G135,DATEVALUE(G135))),"")</f>
        <v/>
      </c>
    </row>
    <row r="136">
      <c r="I136" s="16">
        <f>IF(AND(G136&lt;&gt;"",H136&lt;&gt;""),MAX(0,IF(ISNUMBER(H136),H136,DATEVALUE(H136))-IF(ISNUMBER(G136),G136,DATEVALUE(G136))),"")</f>
        <v/>
      </c>
    </row>
    <row r="137">
      <c r="I137" s="16">
        <f>IF(AND(G137&lt;&gt;"",H137&lt;&gt;""),MAX(0,IF(ISNUMBER(H137),H137,DATEVALUE(H137))-IF(ISNUMBER(G137),G137,DATEVALUE(G137))),"")</f>
        <v/>
      </c>
    </row>
    <row r="138">
      <c r="I138" s="16">
        <f>IF(AND(G138&lt;&gt;"",H138&lt;&gt;""),MAX(0,IF(ISNUMBER(H138),H138,DATEVALUE(H138))-IF(ISNUMBER(G138),G138,DATEVALUE(G138))),"")</f>
        <v/>
      </c>
    </row>
    <row r="139">
      <c r="I139" s="16">
        <f>IF(AND(G139&lt;&gt;"",H139&lt;&gt;""),MAX(0,IF(ISNUMBER(H139),H139,DATEVALUE(H139))-IF(ISNUMBER(G139),G139,DATEVALUE(G139))),"")</f>
        <v/>
      </c>
    </row>
    <row r="140">
      <c r="I140" s="16">
        <f>IF(AND(G140&lt;&gt;"",H140&lt;&gt;""),MAX(0,IF(ISNUMBER(H140),H140,DATEVALUE(H140))-IF(ISNUMBER(G140),G140,DATEVALUE(G140))),"")</f>
        <v/>
      </c>
    </row>
    <row r="141">
      <c r="I141" s="16">
        <f>IF(AND(G141&lt;&gt;"",H141&lt;&gt;""),MAX(0,IF(ISNUMBER(H141),H141,DATEVALUE(H141))-IF(ISNUMBER(G141),G141,DATEVALUE(G141))),"")</f>
        <v/>
      </c>
    </row>
    <row r="142">
      <c r="I142" s="16">
        <f>IF(AND(G142&lt;&gt;"",H142&lt;&gt;""),MAX(0,IF(ISNUMBER(H142),H142,DATEVALUE(H142))-IF(ISNUMBER(G142),G142,DATEVALUE(G142))),"")</f>
        <v/>
      </c>
    </row>
    <row r="143">
      <c r="I143" s="16">
        <f>IF(AND(G143&lt;&gt;"",H143&lt;&gt;""),MAX(0,IF(ISNUMBER(H143),H143,DATEVALUE(H143))-IF(ISNUMBER(G143),G143,DATEVALUE(G143))),"")</f>
        <v/>
      </c>
    </row>
    <row r="144">
      <c r="I144" s="16">
        <f>IF(AND(G144&lt;&gt;"",H144&lt;&gt;""),MAX(0,IF(ISNUMBER(H144),H144,DATEVALUE(H144))-IF(ISNUMBER(G144),G144,DATEVALUE(G144))),"")</f>
        <v/>
      </c>
    </row>
    <row r="145">
      <c r="I145" s="16">
        <f>IF(AND(G145&lt;&gt;"",H145&lt;&gt;""),MAX(0,IF(ISNUMBER(H145),H145,DATEVALUE(H145))-IF(ISNUMBER(G145),G145,DATEVALUE(G145))),"")</f>
        <v/>
      </c>
    </row>
    <row r="146">
      <c r="I146" s="16">
        <f>IF(AND(G146&lt;&gt;"",H146&lt;&gt;""),MAX(0,IF(ISNUMBER(H146),H146,DATEVALUE(H146))-IF(ISNUMBER(G146),G146,DATEVALUE(G146))),"")</f>
        <v/>
      </c>
    </row>
    <row r="147">
      <c r="I147" s="16">
        <f>IF(AND(G147&lt;&gt;"",H147&lt;&gt;""),MAX(0,IF(ISNUMBER(H147),H147,DATEVALUE(H147))-IF(ISNUMBER(G147),G147,DATEVALUE(G147))),"")</f>
        <v/>
      </c>
    </row>
    <row r="148">
      <c r="I148" s="16">
        <f>IF(AND(G148&lt;&gt;"",H148&lt;&gt;""),MAX(0,IF(ISNUMBER(H148),H148,DATEVALUE(H148))-IF(ISNUMBER(G148),G148,DATEVALUE(G148))),"")</f>
        <v/>
      </c>
    </row>
    <row r="149">
      <c r="I149" s="16">
        <f>IF(AND(G149&lt;&gt;"",H149&lt;&gt;""),MAX(0,IF(ISNUMBER(H149),H149,DATEVALUE(H149))-IF(ISNUMBER(G149),G149,DATEVALUE(G149))),"")</f>
        <v/>
      </c>
    </row>
    <row r="150">
      <c r="I150" s="16">
        <f>IF(AND(G150&lt;&gt;"",H150&lt;&gt;""),MAX(0,IF(ISNUMBER(H150),H150,DATEVALUE(H150))-IF(ISNUMBER(G150),G150,DATEVALUE(G150))),"")</f>
        <v/>
      </c>
    </row>
    <row r="151">
      <c r="I151" s="16">
        <f>IF(AND(G151&lt;&gt;"",H151&lt;&gt;""),MAX(0,IF(ISNUMBER(H151),H151,DATEVALUE(H151))-IF(ISNUMBER(G151),G151,DATEVALUE(G151))),"")</f>
        <v/>
      </c>
    </row>
    <row r="152">
      <c r="I152" s="16">
        <f>IF(AND(G152&lt;&gt;"",H152&lt;&gt;""),MAX(0,IF(ISNUMBER(H152),H152,DATEVALUE(H152))-IF(ISNUMBER(G152),G152,DATEVALUE(G152))),"")</f>
        <v/>
      </c>
    </row>
    <row r="153">
      <c r="I153" s="16">
        <f>IF(AND(G153&lt;&gt;"",H153&lt;&gt;""),MAX(0,IF(ISNUMBER(H153),H153,DATEVALUE(H153))-IF(ISNUMBER(G153),G153,DATEVALUE(G153))),"")</f>
        <v/>
      </c>
    </row>
    <row r="154">
      <c r="I154" s="16">
        <f>IF(AND(G154&lt;&gt;"",H154&lt;&gt;""),MAX(0,IF(ISNUMBER(H154),H154,DATEVALUE(H154))-IF(ISNUMBER(G154),G154,DATEVALUE(G154))),"")</f>
        <v/>
      </c>
    </row>
    <row r="155">
      <c r="I155" s="16">
        <f>IF(AND(G155&lt;&gt;"",H155&lt;&gt;""),MAX(0,IF(ISNUMBER(H155),H155,DATEVALUE(H155))-IF(ISNUMBER(G155),G155,DATEVALUE(G155))),"")</f>
        <v/>
      </c>
    </row>
    <row r="156">
      <c r="I156" s="16">
        <f>IF(AND(G156&lt;&gt;"",H156&lt;&gt;""),MAX(0,IF(ISNUMBER(H156),H156,DATEVALUE(H156))-IF(ISNUMBER(G156),G156,DATEVALUE(G156))),"")</f>
        <v/>
      </c>
    </row>
    <row r="157">
      <c r="I157" s="16">
        <f>IF(AND(G157&lt;&gt;"",H157&lt;&gt;""),MAX(0,IF(ISNUMBER(H157),H157,DATEVALUE(H157))-IF(ISNUMBER(G157),G157,DATEVALUE(G157))),"")</f>
        <v/>
      </c>
    </row>
    <row r="158">
      <c r="I158" s="16">
        <f>IF(AND(G158&lt;&gt;"",H158&lt;&gt;""),MAX(0,IF(ISNUMBER(H158),H158,DATEVALUE(H158))-IF(ISNUMBER(G158),G158,DATEVALUE(G158))),"")</f>
        <v/>
      </c>
    </row>
    <row r="159">
      <c r="I159" s="16">
        <f>IF(AND(G159&lt;&gt;"",H159&lt;&gt;""),MAX(0,IF(ISNUMBER(H159),H159,DATEVALUE(H159))-IF(ISNUMBER(G159),G159,DATEVALUE(G159))),"")</f>
        <v/>
      </c>
    </row>
    <row r="160">
      <c r="I160" s="16">
        <f>IF(AND(G160&lt;&gt;"",H160&lt;&gt;""),MAX(0,IF(ISNUMBER(H160),H160,DATEVALUE(H160))-IF(ISNUMBER(G160),G160,DATEVALUE(G160))),"")</f>
        <v/>
      </c>
    </row>
    <row r="161">
      <c r="I161" s="16">
        <f>IF(AND(G161&lt;&gt;"",H161&lt;&gt;""),MAX(0,IF(ISNUMBER(H161),H161,DATEVALUE(H161))-IF(ISNUMBER(G161),G161,DATEVALUE(G161))),"")</f>
        <v/>
      </c>
    </row>
    <row r="162">
      <c r="I162" s="16">
        <f>IF(AND(G162&lt;&gt;"",H162&lt;&gt;""),MAX(0,IF(ISNUMBER(H162),H162,DATEVALUE(H162))-IF(ISNUMBER(G162),G162,DATEVALUE(G162))),"")</f>
        <v/>
      </c>
    </row>
    <row r="163">
      <c r="I163" s="16">
        <f>IF(AND(G163&lt;&gt;"",H163&lt;&gt;""),MAX(0,IF(ISNUMBER(H163),H163,DATEVALUE(H163))-IF(ISNUMBER(G163),G163,DATEVALUE(G163))),"")</f>
        <v/>
      </c>
    </row>
    <row r="164">
      <c r="I164" s="16">
        <f>IF(AND(G164&lt;&gt;"",H164&lt;&gt;""),MAX(0,IF(ISNUMBER(H164),H164,DATEVALUE(H164))-IF(ISNUMBER(G164),G164,DATEVALUE(G164))),"")</f>
        <v/>
      </c>
    </row>
    <row r="165">
      <c r="I165" s="16">
        <f>IF(AND(G165&lt;&gt;"",H165&lt;&gt;""),MAX(0,IF(ISNUMBER(H165),H165,DATEVALUE(H165))-IF(ISNUMBER(G165),G165,DATEVALUE(G165))),"")</f>
        <v/>
      </c>
    </row>
    <row r="166">
      <c r="I166" s="16">
        <f>IF(AND(G166&lt;&gt;"",H166&lt;&gt;""),MAX(0,IF(ISNUMBER(H166),H166,DATEVALUE(H166))-IF(ISNUMBER(G166),G166,DATEVALUE(G166))),"")</f>
        <v/>
      </c>
    </row>
    <row r="167">
      <c r="I167" s="16">
        <f>IF(AND(G167&lt;&gt;"",H167&lt;&gt;""),MAX(0,IF(ISNUMBER(H167),H167,DATEVALUE(H167))-IF(ISNUMBER(G167),G167,DATEVALUE(G167))),"")</f>
        <v/>
      </c>
    </row>
    <row r="168">
      <c r="I168" s="16">
        <f>IF(AND(G168&lt;&gt;"",H168&lt;&gt;""),MAX(0,IF(ISNUMBER(H168),H168,DATEVALUE(H168))-IF(ISNUMBER(G168),G168,DATEVALUE(G168))),"")</f>
        <v/>
      </c>
    </row>
    <row r="169">
      <c r="I169" s="16">
        <f>IF(AND(G169&lt;&gt;"",H169&lt;&gt;""),MAX(0,IF(ISNUMBER(H169),H169,DATEVALUE(H169))-IF(ISNUMBER(G169),G169,DATEVALUE(G169))),"")</f>
        <v/>
      </c>
    </row>
    <row r="170">
      <c r="I170" s="16">
        <f>IF(AND(G170&lt;&gt;"",H170&lt;&gt;""),MAX(0,IF(ISNUMBER(H170),H170,DATEVALUE(H170))-IF(ISNUMBER(G170),G170,DATEVALUE(G170))),"")</f>
        <v/>
      </c>
    </row>
    <row r="171">
      <c r="I171" s="16">
        <f>IF(AND(G171&lt;&gt;"",H171&lt;&gt;""),MAX(0,IF(ISNUMBER(H171),H171,DATEVALUE(H171))-IF(ISNUMBER(G171),G171,DATEVALUE(G171))),"")</f>
        <v/>
      </c>
    </row>
    <row r="172">
      <c r="I172" s="16">
        <f>IF(AND(G172&lt;&gt;"",H172&lt;&gt;""),MAX(0,IF(ISNUMBER(H172),H172,DATEVALUE(H172))-IF(ISNUMBER(G172),G172,DATEVALUE(G172))),"")</f>
        <v/>
      </c>
    </row>
    <row r="173">
      <c r="I173" s="16">
        <f>IF(AND(G173&lt;&gt;"",H173&lt;&gt;""),MAX(0,IF(ISNUMBER(H173),H173,DATEVALUE(H173))-IF(ISNUMBER(G173),G173,DATEVALUE(G173))),"")</f>
        <v/>
      </c>
    </row>
    <row r="174">
      <c r="I174" s="16">
        <f>IF(AND(G174&lt;&gt;"",H174&lt;&gt;""),MAX(0,IF(ISNUMBER(H174),H174,DATEVALUE(H174))-IF(ISNUMBER(G174),G174,DATEVALUE(G174))),"")</f>
        <v/>
      </c>
    </row>
    <row r="175">
      <c r="I175" s="16">
        <f>IF(AND(G175&lt;&gt;"",H175&lt;&gt;""),MAX(0,IF(ISNUMBER(H175),H175,DATEVALUE(H175))-IF(ISNUMBER(G175),G175,DATEVALUE(G175))),"")</f>
        <v/>
      </c>
    </row>
    <row r="176">
      <c r="I176" s="16">
        <f>IF(AND(G176&lt;&gt;"",H176&lt;&gt;""),MAX(0,IF(ISNUMBER(H176),H176,DATEVALUE(H176))-IF(ISNUMBER(G176),G176,DATEVALUE(G176))),"")</f>
        <v/>
      </c>
    </row>
    <row r="177">
      <c r="I177" s="16">
        <f>IF(AND(G177&lt;&gt;"",H177&lt;&gt;""),MAX(0,IF(ISNUMBER(H177),H177,DATEVALUE(H177))-IF(ISNUMBER(G177),G177,DATEVALUE(G177))),"")</f>
        <v/>
      </c>
    </row>
    <row r="178">
      <c r="I178" s="16">
        <f>IF(AND(G178&lt;&gt;"",H178&lt;&gt;""),MAX(0,IF(ISNUMBER(H178),H178,DATEVALUE(H178))-IF(ISNUMBER(G178),G178,DATEVALUE(G178))),"")</f>
        <v/>
      </c>
    </row>
    <row r="179">
      <c r="I179" s="16">
        <f>IF(AND(G179&lt;&gt;"",H179&lt;&gt;""),MAX(0,IF(ISNUMBER(H179),H179,DATEVALUE(H179))-IF(ISNUMBER(G179),G179,DATEVALUE(G179))),"")</f>
        <v/>
      </c>
    </row>
    <row r="180">
      <c r="I180" s="16">
        <f>IF(AND(G180&lt;&gt;"",H180&lt;&gt;""),MAX(0,IF(ISNUMBER(H180),H180,DATEVALUE(H180))-IF(ISNUMBER(G180),G180,DATEVALUE(G180))),"")</f>
        <v/>
      </c>
    </row>
    <row r="181">
      <c r="I181" s="16">
        <f>IF(AND(G181&lt;&gt;"",H181&lt;&gt;""),MAX(0,IF(ISNUMBER(H181),H181,DATEVALUE(H181))-IF(ISNUMBER(G181),G181,DATEVALUE(G181))),"")</f>
        <v/>
      </c>
    </row>
    <row r="182">
      <c r="I182" s="16">
        <f>IF(AND(G182&lt;&gt;"",H182&lt;&gt;""),MAX(0,IF(ISNUMBER(H182),H182,DATEVALUE(H182))-IF(ISNUMBER(G182),G182,DATEVALUE(G182))),"")</f>
        <v/>
      </c>
    </row>
    <row r="183">
      <c r="I183" s="16">
        <f>IF(AND(G183&lt;&gt;"",H183&lt;&gt;""),MAX(0,IF(ISNUMBER(H183),H183,DATEVALUE(H183))-IF(ISNUMBER(G183),G183,DATEVALUE(G183))),"")</f>
        <v/>
      </c>
    </row>
    <row r="184">
      <c r="I184" s="16">
        <f>IF(AND(G184&lt;&gt;"",H184&lt;&gt;""),MAX(0,IF(ISNUMBER(H184),H184,DATEVALUE(H184))-IF(ISNUMBER(G184),G184,DATEVALUE(G184))),"")</f>
        <v/>
      </c>
    </row>
    <row r="185">
      <c r="I185" s="16">
        <f>IF(AND(G185&lt;&gt;"",H185&lt;&gt;""),MAX(0,IF(ISNUMBER(H185),H185,DATEVALUE(H185))-IF(ISNUMBER(G185),G185,DATEVALUE(G185))),"")</f>
        <v/>
      </c>
    </row>
    <row r="186">
      <c r="I186" s="16">
        <f>IF(AND(G186&lt;&gt;"",H186&lt;&gt;""),MAX(0,IF(ISNUMBER(H186),H186,DATEVALUE(H186))-IF(ISNUMBER(G186),G186,DATEVALUE(G186))),"")</f>
        <v/>
      </c>
    </row>
    <row r="187">
      <c r="I187" s="16">
        <f>IF(AND(G187&lt;&gt;"",H187&lt;&gt;""),MAX(0,IF(ISNUMBER(H187),H187,DATEVALUE(H187))-IF(ISNUMBER(G187),G187,DATEVALUE(G187))),"")</f>
        <v/>
      </c>
    </row>
    <row r="188">
      <c r="I188" s="16">
        <f>IF(AND(G188&lt;&gt;"",H188&lt;&gt;""),MAX(0,IF(ISNUMBER(H188),H188,DATEVALUE(H188))-IF(ISNUMBER(G188),G188,DATEVALUE(G188))),"")</f>
        <v/>
      </c>
    </row>
    <row r="189">
      <c r="I189" s="16">
        <f>IF(AND(G189&lt;&gt;"",H189&lt;&gt;""),MAX(0,IF(ISNUMBER(H189),H189,DATEVALUE(H189))-IF(ISNUMBER(G189),G189,DATEVALUE(G189))),"")</f>
        <v/>
      </c>
    </row>
    <row r="190">
      <c r="I190" s="16">
        <f>IF(AND(G190&lt;&gt;"",H190&lt;&gt;""),MAX(0,IF(ISNUMBER(H190),H190,DATEVALUE(H190))-IF(ISNUMBER(G190),G190,DATEVALUE(G190))),"")</f>
        <v/>
      </c>
    </row>
    <row r="191">
      <c r="I191" s="16">
        <f>IF(AND(G191&lt;&gt;"",H191&lt;&gt;""),MAX(0,IF(ISNUMBER(H191),H191,DATEVALUE(H191))-IF(ISNUMBER(G191),G191,DATEVALUE(G191))),"")</f>
        <v/>
      </c>
    </row>
    <row r="192">
      <c r="I192" s="16">
        <f>IF(AND(G192&lt;&gt;"",H192&lt;&gt;""),MAX(0,IF(ISNUMBER(H192),H192,DATEVALUE(H192))-IF(ISNUMBER(G192),G192,DATEVALUE(G192))),"")</f>
        <v/>
      </c>
    </row>
    <row r="193">
      <c r="I193" s="16">
        <f>IF(AND(G193&lt;&gt;"",H193&lt;&gt;""),MAX(0,IF(ISNUMBER(H193),H193,DATEVALUE(H193))-IF(ISNUMBER(G193),G193,DATEVALUE(G193))),"")</f>
        <v/>
      </c>
    </row>
    <row r="194">
      <c r="I194" s="16">
        <f>IF(AND(G194&lt;&gt;"",H194&lt;&gt;""),MAX(0,IF(ISNUMBER(H194),H194,DATEVALUE(H194))-IF(ISNUMBER(G194),G194,DATEVALUE(G194))),"")</f>
        <v/>
      </c>
    </row>
    <row r="195">
      <c r="I195" s="16">
        <f>IF(AND(G195&lt;&gt;"",H195&lt;&gt;""),MAX(0,IF(ISNUMBER(H195),H195,DATEVALUE(H195))-IF(ISNUMBER(G195),G195,DATEVALUE(G195))),"")</f>
        <v/>
      </c>
    </row>
    <row r="196">
      <c r="I196" s="16">
        <f>IF(AND(G196&lt;&gt;"",H196&lt;&gt;""),MAX(0,IF(ISNUMBER(H196),H196,DATEVALUE(H196))-IF(ISNUMBER(G196),G196,DATEVALUE(G196))),"")</f>
        <v/>
      </c>
    </row>
    <row r="197">
      <c r="I197" s="16">
        <f>IF(AND(G197&lt;&gt;"",H197&lt;&gt;""),MAX(0,IF(ISNUMBER(H197),H197,DATEVALUE(H197))-IF(ISNUMBER(G197),G197,DATEVALUE(G197))),"")</f>
        <v/>
      </c>
    </row>
    <row r="198">
      <c r="I198" s="16">
        <f>IF(AND(G198&lt;&gt;"",H198&lt;&gt;""),MAX(0,IF(ISNUMBER(H198),H198,DATEVALUE(H198))-IF(ISNUMBER(G198),G198,DATEVALUE(G198))),"")</f>
        <v/>
      </c>
    </row>
    <row r="199">
      <c r="I199" s="16">
        <f>IF(AND(G199&lt;&gt;"",H199&lt;&gt;""),MAX(0,IF(ISNUMBER(H199),H199,DATEVALUE(H199))-IF(ISNUMBER(G199),G199,DATEVALUE(G199))),"")</f>
        <v/>
      </c>
    </row>
    <row r="200">
      <c r="I200" s="16">
        <f>IF(AND(G200&lt;&gt;"",H200&lt;&gt;""),MAX(0,IF(ISNUMBER(H200),H200,DATEVALUE(H200))-IF(ISNUMBER(G200),G200,DATEVALUE(G200))),"")</f>
        <v/>
      </c>
    </row>
    <row r="201">
      <c r="I201" s="16">
        <f>IF(AND(G201&lt;&gt;"",H201&lt;&gt;""),MAX(0,IF(ISNUMBER(H201),H201,DATEVALUE(H201))-IF(ISNUMBER(G201),G201,DATEVALUE(G201))),"")</f>
        <v/>
      </c>
    </row>
    <row r="202">
      <c r="I202" s="16">
        <f>IF(AND(G202&lt;&gt;"",H202&lt;&gt;""),MAX(0,IF(ISNUMBER(H202),H202,DATEVALUE(H202))-IF(ISNUMBER(G202),G202,DATEVALUE(G202))),"")</f>
        <v/>
      </c>
    </row>
    <row r="203">
      <c r="I203" s="16">
        <f>IF(AND(G203&lt;&gt;"",H203&lt;&gt;""),MAX(0,IF(ISNUMBER(H203),H203,DATEVALUE(H203))-IF(ISNUMBER(G203),G203,DATEVALUE(G203))),"")</f>
        <v/>
      </c>
    </row>
    <row r="204">
      <c r="I204" s="16">
        <f>IF(AND(G204&lt;&gt;"",H204&lt;&gt;""),MAX(0,IF(ISNUMBER(H204),H204,DATEVALUE(H204))-IF(ISNUMBER(G204),G204,DATEVALUE(G204))),"")</f>
        <v/>
      </c>
    </row>
    <row r="205">
      <c r="I205" s="16">
        <f>IF(AND(G205&lt;&gt;"",H205&lt;&gt;""),MAX(0,IF(ISNUMBER(H205),H205,DATEVALUE(H205))-IF(ISNUMBER(G205),G205,DATEVALUE(G205))),"")</f>
        <v/>
      </c>
    </row>
    <row r="206">
      <c r="I206" s="16">
        <f>IF(AND(G206&lt;&gt;"",H206&lt;&gt;""),MAX(0,IF(ISNUMBER(H206),H206,DATEVALUE(H206))-IF(ISNUMBER(G206),G206,DATEVALUE(G206))),"")</f>
        <v/>
      </c>
    </row>
    <row r="207">
      <c r="I207" s="16">
        <f>IF(AND(G207&lt;&gt;"",H207&lt;&gt;""),MAX(0,IF(ISNUMBER(H207),H207,DATEVALUE(H207))-IF(ISNUMBER(G207),G207,DATEVALUE(G207))),"")</f>
        <v/>
      </c>
    </row>
    <row r="208">
      <c r="I208" s="16">
        <f>IF(AND(G208&lt;&gt;"",H208&lt;&gt;""),MAX(0,IF(ISNUMBER(H208),H208,DATEVALUE(H208))-IF(ISNUMBER(G208),G208,DATEVALUE(G208))),"")</f>
        <v/>
      </c>
    </row>
    <row r="209">
      <c r="I209" s="16">
        <f>IF(AND(G209&lt;&gt;"",H209&lt;&gt;""),MAX(0,IF(ISNUMBER(H209),H209,DATEVALUE(H209))-IF(ISNUMBER(G209),G209,DATEVALUE(G209))),"")</f>
        <v/>
      </c>
    </row>
    <row r="210">
      <c r="I210" s="16">
        <f>IF(AND(G210&lt;&gt;"",H210&lt;&gt;""),MAX(0,IF(ISNUMBER(H210),H210,DATEVALUE(H210))-IF(ISNUMBER(G210),G210,DATEVALUE(G210))),"")</f>
        <v/>
      </c>
    </row>
    <row r="211">
      <c r="I211" s="16">
        <f>IF(AND(G211&lt;&gt;"",H211&lt;&gt;""),MAX(0,IF(ISNUMBER(H211),H211,DATEVALUE(H211))-IF(ISNUMBER(G211),G211,DATEVALUE(G211))),"")</f>
        <v/>
      </c>
    </row>
    <row r="212">
      <c r="I212" s="16">
        <f>IF(AND(G212&lt;&gt;"",H212&lt;&gt;""),MAX(0,IF(ISNUMBER(H212),H212,DATEVALUE(H212))-IF(ISNUMBER(G212),G212,DATEVALUE(G212))),"")</f>
        <v/>
      </c>
    </row>
    <row r="213">
      <c r="I213" s="16">
        <f>IF(AND(G213&lt;&gt;"",H213&lt;&gt;""),MAX(0,IF(ISNUMBER(H213),H213,DATEVALUE(H213))-IF(ISNUMBER(G213),G213,DATEVALUE(G213))),"")</f>
        <v/>
      </c>
    </row>
    <row r="214">
      <c r="I214" s="16">
        <f>IF(AND(G214&lt;&gt;"",H214&lt;&gt;""),MAX(0,IF(ISNUMBER(H214),H214,DATEVALUE(H214))-IF(ISNUMBER(G214),G214,DATEVALUE(G214))),"")</f>
        <v/>
      </c>
    </row>
    <row r="215">
      <c r="I215" s="16">
        <f>IF(AND(G215&lt;&gt;"",H215&lt;&gt;""),MAX(0,IF(ISNUMBER(H215),H215,DATEVALUE(H215))-IF(ISNUMBER(G215),G215,DATEVALUE(G215))),"")</f>
        <v/>
      </c>
    </row>
    <row r="216">
      <c r="I216" s="16">
        <f>IF(AND(G216&lt;&gt;"",H216&lt;&gt;""),MAX(0,IF(ISNUMBER(H216),H216,DATEVALUE(H216))-IF(ISNUMBER(G216),G216,DATEVALUE(G216))),"")</f>
        <v/>
      </c>
    </row>
    <row r="217">
      <c r="I217" s="16">
        <f>IF(AND(G217&lt;&gt;"",H217&lt;&gt;""),MAX(0,IF(ISNUMBER(H217),H217,DATEVALUE(H217))-IF(ISNUMBER(G217),G217,DATEVALUE(G217))),"")</f>
        <v/>
      </c>
    </row>
    <row r="218">
      <c r="I218" s="16">
        <f>IF(AND(G218&lt;&gt;"",H218&lt;&gt;""),MAX(0,IF(ISNUMBER(H218),H218,DATEVALUE(H218))-IF(ISNUMBER(G218),G218,DATEVALUE(G218))),"")</f>
        <v/>
      </c>
    </row>
    <row r="219">
      <c r="I219" s="16">
        <f>IF(AND(G219&lt;&gt;"",H219&lt;&gt;""),MAX(0,IF(ISNUMBER(H219),H219,DATEVALUE(H219))-IF(ISNUMBER(G219),G219,DATEVALUE(G219))),"")</f>
        <v/>
      </c>
    </row>
    <row r="220">
      <c r="I220" s="16">
        <f>IF(AND(G220&lt;&gt;"",H220&lt;&gt;""),MAX(0,IF(ISNUMBER(H220),H220,DATEVALUE(H220))-IF(ISNUMBER(G220),G220,DATEVALUE(G220))),"")</f>
        <v/>
      </c>
    </row>
    <row r="221">
      <c r="I221" s="16">
        <f>IF(AND(G221&lt;&gt;"",H221&lt;&gt;""),MAX(0,IF(ISNUMBER(H221),H221,DATEVALUE(H221))-IF(ISNUMBER(G221),G221,DATEVALUE(G221))),"")</f>
        <v/>
      </c>
    </row>
    <row r="222">
      <c r="I222" s="16">
        <f>IF(AND(G222&lt;&gt;"",H222&lt;&gt;""),MAX(0,IF(ISNUMBER(H222),H222,DATEVALUE(H222))-IF(ISNUMBER(G222),G222,DATEVALUE(G222))),"")</f>
        <v/>
      </c>
    </row>
    <row r="223">
      <c r="I223" s="16">
        <f>IF(AND(G223&lt;&gt;"",H223&lt;&gt;""),MAX(0,IF(ISNUMBER(H223),H223,DATEVALUE(H223))-IF(ISNUMBER(G223),G223,DATEVALUE(G223))),"")</f>
        <v/>
      </c>
    </row>
    <row r="224">
      <c r="I224" s="16">
        <f>IF(AND(G224&lt;&gt;"",H224&lt;&gt;""),MAX(0,IF(ISNUMBER(H224),H224,DATEVALUE(H224))-IF(ISNUMBER(G224),G224,DATEVALUE(G224))),"")</f>
        <v/>
      </c>
    </row>
    <row r="225">
      <c r="I225" s="16">
        <f>IF(AND(G225&lt;&gt;"",H225&lt;&gt;""),MAX(0,IF(ISNUMBER(H225),H225,DATEVALUE(H225))-IF(ISNUMBER(G225),G225,DATEVALUE(G225))),"")</f>
        <v/>
      </c>
    </row>
    <row r="226">
      <c r="I226" s="16">
        <f>IF(AND(G226&lt;&gt;"",H226&lt;&gt;""),MAX(0,IF(ISNUMBER(H226),H226,DATEVALUE(H226))-IF(ISNUMBER(G226),G226,DATEVALUE(G226))),"")</f>
        <v/>
      </c>
    </row>
    <row r="227">
      <c r="I227" s="16">
        <f>IF(AND(G227&lt;&gt;"",H227&lt;&gt;""),MAX(0,IF(ISNUMBER(H227),H227,DATEVALUE(H227))-IF(ISNUMBER(G227),G227,DATEVALUE(G227))),"")</f>
        <v/>
      </c>
    </row>
    <row r="228">
      <c r="I228" s="16">
        <f>IF(AND(G228&lt;&gt;"",H228&lt;&gt;""),MAX(0,IF(ISNUMBER(H228),H228,DATEVALUE(H228))-IF(ISNUMBER(G228),G228,DATEVALUE(G228))),"")</f>
        <v/>
      </c>
    </row>
    <row r="229">
      <c r="I229" s="16">
        <f>IF(AND(G229&lt;&gt;"",H229&lt;&gt;""),MAX(0,IF(ISNUMBER(H229),H229,DATEVALUE(H229))-IF(ISNUMBER(G229),G229,DATEVALUE(G229))),"")</f>
        <v/>
      </c>
    </row>
    <row r="230">
      <c r="I230" s="16">
        <f>IF(AND(G230&lt;&gt;"",H230&lt;&gt;""),MAX(0,IF(ISNUMBER(H230),H230,DATEVALUE(H230))-IF(ISNUMBER(G230),G230,DATEVALUE(G230))),"")</f>
        <v/>
      </c>
    </row>
    <row r="231">
      <c r="I231" s="16">
        <f>IF(AND(G231&lt;&gt;"",H231&lt;&gt;""),MAX(0,IF(ISNUMBER(H231),H231,DATEVALUE(H231))-IF(ISNUMBER(G231),G231,DATEVALUE(G231))),"")</f>
        <v/>
      </c>
    </row>
    <row r="232">
      <c r="I232" s="16">
        <f>IF(AND(G232&lt;&gt;"",H232&lt;&gt;""),MAX(0,IF(ISNUMBER(H232),H232,DATEVALUE(H232))-IF(ISNUMBER(G232),G232,DATEVALUE(G232))),"")</f>
        <v/>
      </c>
    </row>
    <row r="233">
      <c r="I233" s="16">
        <f>IF(AND(G233&lt;&gt;"",H233&lt;&gt;""),MAX(0,IF(ISNUMBER(H233),H233,DATEVALUE(H233))-IF(ISNUMBER(G233),G233,DATEVALUE(G233))),"")</f>
        <v/>
      </c>
    </row>
    <row r="234">
      <c r="I234" s="16">
        <f>IF(AND(G234&lt;&gt;"",H234&lt;&gt;""),MAX(0,IF(ISNUMBER(H234),H234,DATEVALUE(H234))-IF(ISNUMBER(G234),G234,DATEVALUE(G234))),"")</f>
        <v/>
      </c>
    </row>
    <row r="235">
      <c r="I235" s="16">
        <f>IF(AND(G235&lt;&gt;"",H235&lt;&gt;""),MAX(0,IF(ISNUMBER(H235),H235,DATEVALUE(H235))-IF(ISNUMBER(G235),G235,DATEVALUE(G235))),"")</f>
        <v/>
      </c>
    </row>
    <row r="236">
      <c r="I236" s="16">
        <f>IF(AND(G236&lt;&gt;"",H236&lt;&gt;""),MAX(0,IF(ISNUMBER(H236),H236,DATEVALUE(H236))-IF(ISNUMBER(G236),G236,DATEVALUE(G236))),"")</f>
        <v/>
      </c>
    </row>
    <row r="237">
      <c r="I237" s="16">
        <f>IF(AND(G237&lt;&gt;"",H237&lt;&gt;""),MAX(0,IF(ISNUMBER(H237),H237,DATEVALUE(H237))-IF(ISNUMBER(G237),G237,DATEVALUE(G237))),"")</f>
        <v/>
      </c>
    </row>
    <row r="238">
      <c r="I238" s="16">
        <f>IF(AND(G238&lt;&gt;"",H238&lt;&gt;""),MAX(0,IF(ISNUMBER(H238),H238,DATEVALUE(H238))-IF(ISNUMBER(G238),G238,DATEVALUE(G238))),"")</f>
        <v/>
      </c>
    </row>
    <row r="239">
      <c r="I239" s="16">
        <f>IF(AND(G239&lt;&gt;"",H239&lt;&gt;""),MAX(0,IF(ISNUMBER(H239),H239,DATEVALUE(H239))-IF(ISNUMBER(G239),G239,DATEVALUE(G239))),"")</f>
        <v/>
      </c>
    </row>
    <row r="240">
      <c r="I240" s="16">
        <f>IF(AND(G240&lt;&gt;"",H240&lt;&gt;""),MAX(0,IF(ISNUMBER(H240),H240,DATEVALUE(H240))-IF(ISNUMBER(G240),G240,DATEVALUE(G240))),"")</f>
        <v/>
      </c>
    </row>
    <row r="241">
      <c r="I241" s="16">
        <f>IF(AND(G241&lt;&gt;"",H241&lt;&gt;""),MAX(0,IF(ISNUMBER(H241),H241,DATEVALUE(H241))-IF(ISNUMBER(G241),G241,DATEVALUE(G241))),"")</f>
        <v/>
      </c>
    </row>
    <row r="242">
      <c r="I242" s="16">
        <f>IF(AND(G242&lt;&gt;"",H242&lt;&gt;""),MAX(0,IF(ISNUMBER(H242),H242,DATEVALUE(H242))-IF(ISNUMBER(G242),G242,DATEVALUE(G242))),"")</f>
        <v/>
      </c>
    </row>
    <row r="243">
      <c r="I243" s="16">
        <f>IF(AND(G243&lt;&gt;"",H243&lt;&gt;""),MAX(0,IF(ISNUMBER(H243),H243,DATEVALUE(H243))-IF(ISNUMBER(G243),G243,DATEVALUE(G243))),"")</f>
        <v/>
      </c>
    </row>
    <row r="244">
      <c r="I244" s="16">
        <f>IF(AND(G244&lt;&gt;"",H244&lt;&gt;""),MAX(0,IF(ISNUMBER(H244),H244,DATEVALUE(H244))-IF(ISNUMBER(G244),G244,DATEVALUE(G244))),"")</f>
        <v/>
      </c>
    </row>
    <row r="245">
      <c r="I245" s="16">
        <f>IF(AND(G245&lt;&gt;"",H245&lt;&gt;""),MAX(0,IF(ISNUMBER(H245),H245,DATEVALUE(H245))-IF(ISNUMBER(G245),G245,DATEVALUE(G245))),"")</f>
        <v/>
      </c>
    </row>
    <row r="246">
      <c r="I246" s="16">
        <f>IF(AND(G246&lt;&gt;"",H246&lt;&gt;""),MAX(0,IF(ISNUMBER(H246),H246,DATEVALUE(H246))-IF(ISNUMBER(G246),G246,DATEVALUE(G246))),"")</f>
        <v/>
      </c>
    </row>
    <row r="247">
      <c r="I247" s="16">
        <f>IF(AND(G247&lt;&gt;"",H247&lt;&gt;""),MAX(0,IF(ISNUMBER(H247),H247,DATEVALUE(H247))-IF(ISNUMBER(G247),G247,DATEVALUE(G247))),"")</f>
        <v/>
      </c>
    </row>
    <row r="248">
      <c r="I248" s="16">
        <f>IF(AND(G248&lt;&gt;"",H248&lt;&gt;""),MAX(0,IF(ISNUMBER(H248),H248,DATEVALUE(H248))-IF(ISNUMBER(G248),G248,DATEVALUE(G248))),"")</f>
        <v/>
      </c>
    </row>
    <row r="249">
      <c r="I249" s="16">
        <f>IF(AND(G249&lt;&gt;"",H249&lt;&gt;""),MAX(0,IF(ISNUMBER(H249),H249,DATEVALUE(H249))-IF(ISNUMBER(G249),G249,DATEVALUE(G249))),"")</f>
        <v/>
      </c>
    </row>
    <row r="250">
      <c r="I250" s="16">
        <f>IF(AND(G250&lt;&gt;"",H250&lt;&gt;""),MAX(0,IF(ISNUMBER(H250),H250,DATEVALUE(H250))-IF(ISNUMBER(G250),G250,DATEVALUE(G250))),"")</f>
        <v/>
      </c>
    </row>
    <row r="251">
      <c r="I251" s="16">
        <f>IF(AND(G251&lt;&gt;"",H251&lt;&gt;""),MAX(0,IF(ISNUMBER(H251),H251,DATEVALUE(H251))-IF(ISNUMBER(G251),G251,DATEVALUE(G251))),"")</f>
        <v/>
      </c>
    </row>
    <row r="252">
      <c r="I252" s="16">
        <f>IF(AND(G252&lt;&gt;"",H252&lt;&gt;""),MAX(0,IF(ISNUMBER(H252),H252,DATEVALUE(H252))-IF(ISNUMBER(G252),G252,DATEVALUE(G252))),"")</f>
        <v/>
      </c>
    </row>
    <row r="253">
      <c r="I253" s="16">
        <f>IF(AND(G253&lt;&gt;"",H253&lt;&gt;""),MAX(0,IF(ISNUMBER(H253),H253,DATEVALUE(H253))-IF(ISNUMBER(G253),G253,DATEVALUE(G253))),"")</f>
        <v/>
      </c>
    </row>
    <row r="254">
      <c r="I254" s="16">
        <f>IF(AND(G254&lt;&gt;"",H254&lt;&gt;""),MAX(0,IF(ISNUMBER(H254),H254,DATEVALUE(H254))-IF(ISNUMBER(G254),G254,DATEVALUE(G254))),"")</f>
        <v/>
      </c>
    </row>
    <row r="255">
      <c r="I255" s="16">
        <f>IF(AND(G255&lt;&gt;"",H255&lt;&gt;""),MAX(0,IF(ISNUMBER(H255),H255,DATEVALUE(H255))-IF(ISNUMBER(G255),G255,DATEVALUE(G255))),"")</f>
        <v/>
      </c>
    </row>
    <row r="256">
      <c r="I256" s="16">
        <f>IF(AND(G256&lt;&gt;"",H256&lt;&gt;""),MAX(0,IF(ISNUMBER(H256),H256,DATEVALUE(H256))-IF(ISNUMBER(G256),G256,DATEVALUE(G256))),"")</f>
        <v/>
      </c>
    </row>
    <row r="257">
      <c r="I257" s="16">
        <f>IF(AND(G257&lt;&gt;"",H257&lt;&gt;""),MAX(0,IF(ISNUMBER(H257),H257,DATEVALUE(H257))-IF(ISNUMBER(G257),G257,DATEVALUE(G257))),"")</f>
        <v/>
      </c>
    </row>
    <row r="258">
      <c r="I258" s="16">
        <f>IF(AND(G258&lt;&gt;"",H258&lt;&gt;""),MAX(0,IF(ISNUMBER(H258),H258,DATEVALUE(H258))-IF(ISNUMBER(G258),G258,DATEVALUE(G258))),"")</f>
        <v/>
      </c>
    </row>
    <row r="259">
      <c r="I259" s="16">
        <f>IF(AND(G259&lt;&gt;"",H259&lt;&gt;""),MAX(0,IF(ISNUMBER(H259),H259,DATEVALUE(H259))-IF(ISNUMBER(G259),G259,DATEVALUE(G259))),"")</f>
        <v/>
      </c>
    </row>
    <row r="260">
      <c r="I260" s="16">
        <f>IF(AND(G260&lt;&gt;"",H260&lt;&gt;""),MAX(0,IF(ISNUMBER(H260),H260,DATEVALUE(H260))-IF(ISNUMBER(G260),G260,DATEVALUE(G260))),"")</f>
        <v/>
      </c>
    </row>
    <row r="261">
      <c r="I261" s="16">
        <f>IF(AND(G261&lt;&gt;"",H261&lt;&gt;""),MAX(0,IF(ISNUMBER(H261),H261,DATEVALUE(H261))-IF(ISNUMBER(G261),G261,DATEVALUE(G261))),"")</f>
        <v/>
      </c>
    </row>
    <row r="262">
      <c r="I262" s="16">
        <f>IF(AND(G262&lt;&gt;"",H262&lt;&gt;""),MAX(0,IF(ISNUMBER(H262),H262,DATEVALUE(H262))-IF(ISNUMBER(G262),G262,DATEVALUE(G262))),"")</f>
        <v/>
      </c>
    </row>
    <row r="263">
      <c r="I263" s="16">
        <f>IF(AND(G263&lt;&gt;"",H263&lt;&gt;""),MAX(0,IF(ISNUMBER(H263),H263,DATEVALUE(H263))-IF(ISNUMBER(G263),G263,DATEVALUE(G263))),"")</f>
        <v/>
      </c>
    </row>
    <row r="264">
      <c r="I264" s="16">
        <f>IF(AND(G264&lt;&gt;"",H264&lt;&gt;""),MAX(0,IF(ISNUMBER(H264),H264,DATEVALUE(H264))-IF(ISNUMBER(G264),G264,DATEVALUE(G264))),"")</f>
        <v/>
      </c>
    </row>
    <row r="265">
      <c r="I265" s="16">
        <f>IF(AND(G265&lt;&gt;"",H265&lt;&gt;""),MAX(0,IF(ISNUMBER(H265),H265,DATEVALUE(H265))-IF(ISNUMBER(G265),G265,DATEVALUE(G265))),"")</f>
        <v/>
      </c>
    </row>
    <row r="266">
      <c r="I266" s="16">
        <f>IF(AND(G266&lt;&gt;"",H266&lt;&gt;""),MAX(0,IF(ISNUMBER(H266),H266,DATEVALUE(H266))-IF(ISNUMBER(G266),G266,DATEVALUE(G266))),"")</f>
        <v/>
      </c>
    </row>
    <row r="267">
      <c r="I267" s="16">
        <f>IF(AND(G267&lt;&gt;"",H267&lt;&gt;""),MAX(0,IF(ISNUMBER(H267),H267,DATEVALUE(H267))-IF(ISNUMBER(G267),G267,DATEVALUE(G267))),"")</f>
        <v/>
      </c>
    </row>
    <row r="268">
      <c r="I268" s="16">
        <f>IF(AND(G268&lt;&gt;"",H268&lt;&gt;""),MAX(0,IF(ISNUMBER(H268),H268,DATEVALUE(H268))-IF(ISNUMBER(G268),G268,DATEVALUE(G268))),"")</f>
        <v/>
      </c>
    </row>
    <row r="269">
      <c r="I269" s="16">
        <f>IF(AND(G269&lt;&gt;"",H269&lt;&gt;""),MAX(0,IF(ISNUMBER(H269),H269,DATEVALUE(H269))-IF(ISNUMBER(G269),G269,DATEVALUE(G269))),"")</f>
        <v/>
      </c>
    </row>
    <row r="270">
      <c r="I270" s="16">
        <f>IF(AND(G270&lt;&gt;"",H270&lt;&gt;""),MAX(0,IF(ISNUMBER(H270),H270,DATEVALUE(H270))-IF(ISNUMBER(G270),G270,DATEVALUE(G270))),"")</f>
        <v/>
      </c>
    </row>
    <row r="271">
      <c r="I271" s="16">
        <f>IF(AND(G271&lt;&gt;"",H271&lt;&gt;""),MAX(0,IF(ISNUMBER(H271),H271,DATEVALUE(H271))-IF(ISNUMBER(G271),G271,DATEVALUE(G271))),"")</f>
        <v/>
      </c>
    </row>
    <row r="272">
      <c r="I272" s="16">
        <f>IF(AND(G272&lt;&gt;"",H272&lt;&gt;""),MAX(0,IF(ISNUMBER(H272),H272,DATEVALUE(H272))-IF(ISNUMBER(G272),G272,DATEVALUE(G272))),"")</f>
        <v/>
      </c>
    </row>
    <row r="273">
      <c r="I273" s="16">
        <f>IF(AND(G273&lt;&gt;"",H273&lt;&gt;""),MAX(0,IF(ISNUMBER(H273),H273,DATEVALUE(H273))-IF(ISNUMBER(G273),G273,DATEVALUE(G273))),"")</f>
        <v/>
      </c>
    </row>
    <row r="274">
      <c r="I274" s="16">
        <f>IF(AND(G274&lt;&gt;"",H274&lt;&gt;""),MAX(0,IF(ISNUMBER(H274),H274,DATEVALUE(H274))-IF(ISNUMBER(G274),G274,DATEVALUE(G274))),"")</f>
        <v/>
      </c>
    </row>
    <row r="275">
      <c r="I275" s="16">
        <f>IF(AND(G275&lt;&gt;"",H275&lt;&gt;""),MAX(0,IF(ISNUMBER(H275),H275,DATEVALUE(H275))-IF(ISNUMBER(G275),G275,DATEVALUE(G275))),"")</f>
        <v/>
      </c>
    </row>
    <row r="276">
      <c r="I276" s="16">
        <f>IF(AND(G276&lt;&gt;"",H276&lt;&gt;""),MAX(0,IF(ISNUMBER(H276),H276,DATEVALUE(H276))-IF(ISNUMBER(G276),G276,DATEVALUE(G276))),"")</f>
        <v/>
      </c>
    </row>
    <row r="277">
      <c r="I277" s="16">
        <f>IF(AND(G277&lt;&gt;"",H277&lt;&gt;""),MAX(0,IF(ISNUMBER(H277),H277,DATEVALUE(H277))-IF(ISNUMBER(G277),G277,DATEVALUE(G277))),"")</f>
        <v/>
      </c>
    </row>
    <row r="278">
      <c r="I278" s="16">
        <f>IF(AND(G278&lt;&gt;"",H278&lt;&gt;""),MAX(0,IF(ISNUMBER(H278),H278,DATEVALUE(H278))-IF(ISNUMBER(G278),G278,DATEVALUE(G278))),"")</f>
        <v/>
      </c>
    </row>
    <row r="279">
      <c r="I279" s="16">
        <f>IF(AND(G279&lt;&gt;"",H279&lt;&gt;""),MAX(0,IF(ISNUMBER(H279),H279,DATEVALUE(H279))-IF(ISNUMBER(G279),G279,DATEVALUE(G279))),"")</f>
        <v/>
      </c>
    </row>
    <row r="280">
      <c r="I280" s="16">
        <f>IF(AND(G280&lt;&gt;"",H280&lt;&gt;""),MAX(0,IF(ISNUMBER(H280),H280,DATEVALUE(H280))-IF(ISNUMBER(G280),G280,DATEVALUE(G280))),"")</f>
        <v/>
      </c>
    </row>
    <row r="281">
      <c r="I281" s="16">
        <f>IF(AND(G281&lt;&gt;"",H281&lt;&gt;""),MAX(0,IF(ISNUMBER(H281),H281,DATEVALUE(H281))-IF(ISNUMBER(G281),G281,DATEVALUE(G281))),"")</f>
        <v/>
      </c>
    </row>
    <row r="282">
      <c r="I282" s="16">
        <f>IF(AND(G282&lt;&gt;"",H282&lt;&gt;""),MAX(0,IF(ISNUMBER(H282),H282,DATEVALUE(H282))-IF(ISNUMBER(G282),G282,DATEVALUE(G282))),"")</f>
        <v/>
      </c>
    </row>
    <row r="283">
      <c r="I283" s="16">
        <f>IF(AND(G283&lt;&gt;"",H283&lt;&gt;""),MAX(0,IF(ISNUMBER(H283),H283,DATEVALUE(H283))-IF(ISNUMBER(G283),G283,DATEVALUE(G283))),"")</f>
        <v/>
      </c>
    </row>
    <row r="284">
      <c r="I284" s="16">
        <f>IF(AND(G284&lt;&gt;"",H284&lt;&gt;""),MAX(0,IF(ISNUMBER(H284),H284,DATEVALUE(H284))-IF(ISNUMBER(G284),G284,DATEVALUE(G284))),"")</f>
        <v/>
      </c>
    </row>
    <row r="285">
      <c r="I285" s="16">
        <f>IF(AND(G285&lt;&gt;"",H285&lt;&gt;""),MAX(0,IF(ISNUMBER(H285),H285,DATEVALUE(H285))-IF(ISNUMBER(G285),G285,DATEVALUE(G285))),"")</f>
        <v/>
      </c>
    </row>
    <row r="286">
      <c r="I286" s="16">
        <f>IF(AND(G286&lt;&gt;"",H286&lt;&gt;""),MAX(0,IF(ISNUMBER(H286),H286,DATEVALUE(H286))-IF(ISNUMBER(G286),G286,DATEVALUE(G286))),"")</f>
        <v/>
      </c>
    </row>
    <row r="287">
      <c r="I287" s="16">
        <f>IF(AND(G287&lt;&gt;"",H287&lt;&gt;""),MAX(0,IF(ISNUMBER(H287),H287,DATEVALUE(H287))-IF(ISNUMBER(G287),G287,DATEVALUE(G287))),"")</f>
        <v/>
      </c>
    </row>
    <row r="288">
      <c r="I288" s="16">
        <f>IF(AND(G288&lt;&gt;"",H288&lt;&gt;""),MAX(0,IF(ISNUMBER(H288),H288,DATEVALUE(H288))-IF(ISNUMBER(G288),G288,DATEVALUE(G288))),"")</f>
        <v/>
      </c>
    </row>
    <row r="289">
      <c r="I289" s="16">
        <f>IF(AND(G289&lt;&gt;"",H289&lt;&gt;""),MAX(0,IF(ISNUMBER(H289),H289,DATEVALUE(H289))-IF(ISNUMBER(G289),G289,DATEVALUE(G289))),"")</f>
        <v/>
      </c>
    </row>
    <row r="290">
      <c r="I290" s="16">
        <f>IF(AND(G290&lt;&gt;"",H290&lt;&gt;""),MAX(0,IF(ISNUMBER(H290),H290,DATEVALUE(H290))-IF(ISNUMBER(G290),G290,DATEVALUE(G290))),"")</f>
        <v/>
      </c>
    </row>
    <row r="291">
      <c r="I291" s="16">
        <f>IF(AND(G291&lt;&gt;"",H291&lt;&gt;""),MAX(0,IF(ISNUMBER(H291),H291,DATEVALUE(H291))-IF(ISNUMBER(G291),G291,DATEVALUE(G291))),"")</f>
        <v/>
      </c>
    </row>
    <row r="292">
      <c r="I292" s="16">
        <f>IF(AND(G292&lt;&gt;"",H292&lt;&gt;""),MAX(0,IF(ISNUMBER(H292),H292,DATEVALUE(H292))-IF(ISNUMBER(G292),G292,DATEVALUE(G292))),"")</f>
        <v/>
      </c>
    </row>
    <row r="293">
      <c r="I293" s="16">
        <f>IF(AND(G293&lt;&gt;"",H293&lt;&gt;""),MAX(0,IF(ISNUMBER(H293),H293,DATEVALUE(H293))-IF(ISNUMBER(G293),G293,DATEVALUE(G293))),"")</f>
        <v/>
      </c>
    </row>
    <row r="294">
      <c r="I294" s="16">
        <f>IF(AND(G294&lt;&gt;"",H294&lt;&gt;""),MAX(0,IF(ISNUMBER(H294),H294,DATEVALUE(H294))-IF(ISNUMBER(G294),G294,DATEVALUE(G294))),"")</f>
        <v/>
      </c>
    </row>
    <row r="295">
      <c r="I295" s="16">
        <f>IF(AND(G295&lt;&gt;"",H295&lt;&gt;""),MAX(0,IF(ISNUMBER(H295),H295,DATEVALUE(H295))-IF(ISNUMBER(G295),G295,DATEVALUE(G295))),"")</f>
        <v/>
      </c>
    </row>
    <row r="296">
      <c r="I296" s="16">
        <f>IF(AND(G296&lt;&gt;"",H296&lt;&gt;""),MAX(0,IF(ISNUMBER(H296),H296,DATEVALUE(H296))-IF(ISNUMBER(G296),G296,DATEVALUE(G296))),"")</f>
        <v/>
      </c>
    </row>
    <row r="297">
      <c r="I297" s="16">
        <f>IF(AND(G297&lt;&gt;"",H297&lt;&gt;""),MAX(0,IF(ISNUMBER(H297),H297,DATEVALUE(H297))-IF(ISNUMBER(G297),G297,DATEVALUE(G297))),"")</f>
        <v/>
      </c>
    </row>
    <row r="298">
      <c r="I298" s="16">
        <f>IF(AND(G298&lt;&gt;"",H298&lt;&gt;""),MAX(0,IF(ISNUMBER(H298),H298,DATEVALUE(H298))-IF(ISNUMBER(G298),G298,DATEVALUE(G298))),"")</f>
        <v/>
      </c>
    </row>
    <row r="299">
      <c r="I299" s="16">
        <f>IF(AND(G299&lt;&gt;"",H299&lt;&gt;""),MAX(0,IF(ISNUMBER(H299),H299,DATEVALUE(H299))-IF(ISNUMBER(G299),G299,DATEVALUE(G299))),"")</f>
        <v/>
      </c>
    </row>
    <row r="300">
      <c r="I300" s="16">
        <f>IF(AND(G300&lt;&gt;"",H300&lt;&gt;""),MAX(0,IF(ISNUMBER(H300),H300,DATEVALUE(H300))-IF(ISNUMBER(G300),G300,DATEVALUE(G300))),"")</f>
        <v/>
      </c>
    </row>
    <row r="301">
      <c r="I301" s="16">
        <f>IF(AND(G301&lt;&gt;"",H301&lt;&gt;""),MAX(0,IF(ISNUMBER(H301),H301,DATEVALUE(H301))-IF(ISNUMBER(G301),G301,DATEVALUE(G301))),"")</f>
        <v/>
      </c>
    </row>
    <row r="302">
      <c r="I302" s="16">
        <f>IF(AND(G302&lt;&gt;"",H302&lt;&gt;""),MAX(0,IF(ISNUMBER(H302),H302,DATEVALUE(H302))-IF(ISNUMBER(G302),G302,DATEVALUE(G302))),"")</f>
        <v/>
      </c>
    </row>
    <row r="303">
      <c r="I303" s="16">
        <f>IF(AND(G303&lt;&gt;"",H303&lt;&gt;""),MAX(0,IF(ISNUMBER(H303),H303,DATEVALUE(H303))-IF(ISNUMBER(G303),G303,DATEVALUE(G303))),"")</f>
        <v/>
      </c>
    </row>
    <row r="304">
      <c r="I304" s="16">
        <f>IF(AND(G304&lt;&gt;"",H304&lt;&gt;""),MAX(0,IF(ISNUMBER(H304),H304,DATEVALUE(H304))-IF(ISNUMBER(G304),G304,DATEVALUE(G304))),"")</f>
        <v/>
      </c>
    </row>
    <row r="305">
      <c r="I305" s="16">
        <f>IF(AND(G305&lt;&gt;"",H305&lt;&gt;""),MAX(0,IF(ISNUMBER(H305),H305,DATEVALUE(H305))-IF(ISNUMBER(G305),G305,DATEVALUE(G305))),"")</f>
        <v/>
      </c>
    </row>
    <row r="306">
      <c r="I306" s="16">
        <f>IF(AND(G306&lt;&gt;"",H306&lt;&gt;""),MAX(0,IF(ISNUMBER(H306),H306,DATEVALUE(H306))-IF(ISNUMBER(G306),G306,DATEVALUE(G306))),"")</f>
        <v/>
      </c>
    </row>
    <row r="307">
      <c r="I307" s="16">
        <f>IF(AND(G307&lt;&gt;"",H307&lt;&gt;""),MAX(0,IF(ISNUMBER(H307),H307,DATEVALUE(H307))-IF(ISNUMBER(G307),G307,DATEVALUE(G307))),"")</f>
        <v/>
      </c>
    </row>
    <row r="308">
      <c r="I308" s="16">
        <f>IF(AND(G308&lt;&gt;"",H308&lt;&gt;""),MAX(0,IF(ISNUMBER(H308),H308,DATEVALUE(H308))-IF(ISNUMBER(G308),G308,DATEVALUE(G308))),"")</f>
        <v/>
      </c>
    </row>
    <row r="309">
      <c r="I309" s="16">
        <f>IF(AND(G309&lt;&gt;"",H309&lt;&gt;""),MAX(0,IF(ISNUMBER(H309),H309,DATEVALUE(H309))-IF(ISNUMBER(G309),G309,DATEVALUE(G309))),"")</f>
        <v/>
      </c>
    </row>
    <row r="310">
      <c r="I310" s="16">
        <f>IF(AND(G310&lt;&gt;"",H310&lt;&gt;""),MAX(0,IF(ISNUMBER(H310),H310,DATEVALUE(H310))-IF(ISNUMBER(G310),G310,DATEVALUE(G310))),"")</f>
        <v/>
      </c>
    </row>
    <row r="311">
      <c r="I311" s="16">
        <f>IF(AND(G311&lt;&gt;"",H311&lt;&gt;""),MAX(0,IF(ISNUMBER(H311),H311,DATEVALUE(H311))-IF(ISNUMBER(G311),G311,DATEVALUE(G311))),"")</f>
        <v/>
      </c>
    </row>
    <row r="312">
      <c r="I312" s="16">
        <f>IF(AND(G312&lt;&gt;"",H312&lt;&gt;""),MAX(0,IF(ISNUMBER(H312),H312,DATEVALUE(H312))-IF(ISNUMBER(G312),G312,DATEVALUE(G312))),"")</f>
        <v/>
      </c>
    </row>
    <row r="313">
      <c r="I313" s="16">
        <f>IF(AND(G313&lt;&gt;"",H313&lt;&gt;""),MAX(0,IF(ISNUMBER(H313),H313,DATEVALUE(H313))-IF(ISNUMBER(G313),G313,DATEVALUE(G313))),"")</f>
        <v/>
      </c>
    </row>
    <row r="314">
      <c r="I314" s="16">
        <f>IF(AND(G314&lt;&gt;"",H314&lt;&gt;""),MAX(0,IF(ISNUMBER(H314),H314,DATEVALUE(H314))-IF(ISNUMBER(G314),G314,DATEVALUE(G314))),"")</f>
        <v/>
      </c>
    </row>
    <row r="315">
      <c r="I315" s="16">
        <f>IF(AND(G315&lt;&gt;"",H315&lt;&gt;""),MAX(0,IF(ISNUMBER(H315),H315,DATEVALUE(H315))-IF(ISNUMBER(G315),G315,DATEVALUE(G315))),"")</f>
        <v/>
      </c>
    </row>
    <row r="316">
      <c r="I316" s="16">
        <f>IF(AND(G316&lt;&gt;"",H316&lt;&gt;""),MAX(0,IF(ISNUMBER(H316),H316,DATEVALUE(H316))-IF(ISNUMBER(G316),G316,DATEVALUE(G316))),"")</f>
        <v/>
      </c>
    </row>
    <row r="317">
      <c r="I317" s="16">
        <f>IF(AND(G317&lt;&gt;"",H317&lt;&gt;""),MAX(0,IF(ISNUMBER(H317),H317,DATEVALUE(H317))-IF(ISNUMBER(G317),G317,DATEVALUE(G317))),"")</f>
        <v/>
      </c>
    </row>
    <row r="318">
      <c r="I318" s="16">
        <f>IF(AND(G318&lt;&gt;"",H318&lt;&gt;""),MAX(0,IF(ISNUMBER(H318),H318,DATEVALUE(H318))-IF(ISNUMBER(G318),G318,DATEVALUE(G318))),"")</f>
        <v/>
      </c>
    </row>
    <row r="319">
      <c r="I319" s="16">
        <f>IF(AND(G319&lt;&gt;"",H319&lt;&gt;""),MAX(0,IF(ISNUMBER(H319),H319,DATEVALUE(H319))-IF(ISNUMBER(G319),G319,DATEVALUE(G319))),"")</f>
        <v/>
      </c>
    </row>
    <row r="320">
      <c r="I320" s="16">
        <f>IF(AND(G320&lt;&gt;"",H320&lt;&gt;""),MAX(0,IF(ISNUMBER(H320),H320,DATEVALUE(H320))-IF(ISNUMBER(G320),G320,DATEVALUE(G320))),"")</f>
        <v/>
      </c>
    </row>
    <row r="321">
      <c r="I321" s="16">
        <f>IF(AND(G321&lt;&gt;"",H321&lt;&gt;""),MAX(0,IF(ISNUMBER(H321),H321,DATEVALUE(H321))-IF(ISNUMBER(G321),G321,DATEVALUE(G321))),"")</f>
        <v/>
      </c>
    </row>
    <row r="322">
      <c r="I322" s="16">
        <f>IF(AND(G322&lt;&gt;"",H322&lt;&gt;""),MAX(0,IF(ISNUMBER(H322),H322,DATEVALUE(H322))-IF(ISNUMBER(G322),G322,DATEVALUE(G322))),"")</f>
        <v/>
      </c>
    </row>
    <row r="323">
      <c r="I323" s="16">
        <f>IF(AND(G323&lt;&gt;"",H323&lt;&gt;""),MAX(0,IF(ISNUMBER(H323),H323,DATEVALUE(H323))-IF(ISNUMBER(G323),G323,DATEVALUE(G323))),"")</f>
        <v/>
      </c>
    </row>
    <row r="324">
      <c r="I324" s="16">
        <f>IF(AND(G324&lt;&gt;"",H324&lt;&gt;""),MAX(0,IF(ISNUMBER(H324),H324,DATEVALUE(H324))-IF(ISNUMBER(G324),G324,DATEVALUE(G324))),"")</f>
        <v/>
      </c>
    </row>
    <row r="325">
      <c r="I325" s="16">
        <f>IF(AND(G325&lt;&gt;"",H325&lt;&gt;""),MAX(0,IF(ISNUMBER(H325),H325,DATEVALUE(H325))-IF(ISNUMBER(G325),G325,DATEVALUE(G325))),"")</f>
        <v/>
      </c>
    </row>
    <row r="326">
      <c r="I326" s="16">
        <f>IF(AND(G326&lt;&gt;"",H326&lt;&gt;""),MAX(0,IF(ISNUMBER(H326),H326,DATEVALUE(H326))-IF(ISNUMBER(G326),G326,DATEVALUE(G326))),"")</f>
        <v/>
      </c>
    </row>
    <row r="327">
      <c r="I327" s="16">
        <f>IF(AND(G327&lt;&gt;"",H327&lt;&gt;""),MAX(0,IF(ISNUMBER(H327),H327,DATEVALUE(H327))-IF(ISNUMBER(G327),G327,DATEVALUE(G327))),"")</f>
        <v/>
      </c>
    </row>
    <row r="328">
      <c r="I328" s="16">
        <f>IF(AND(G328&lt;&gt;"",H328&lt;&gt;""),MAX(0,IF(ISNUMBER(H328),H328,DATEVALUE(H328))-IF(ISNUMBER(G328),G328,DATEVALUE(G328))),"")</f>
        <v/>
      </c>
    </row>
    <row r="329">
      <c r="I329" s="16">
        <f>IF(AND(G329&lt;&gt;"",H329&lt;&gt;""),MAX(0,IF(ISNUMBER(H329),H329,DATEVALUE(H329))-IF(ISNUMBER(G329),G329,DATEVALUE(G329))),"")</f>
        <v/>
      </c>
    </row>
    <row r="330">
      <c r="I330" s="16">
        <f>IF(AND(G330&lt;&gt;"",H330&lt;&gt;""),MAX(0,IF(ISNUMBER(H330),H330,DATEVALUE(H330))-IF(ISNUMBER(G330),G330,DATEVALUE(G330))),"")</f>
        <v/>
      </c>
    </row>
    <row r="331">
      <c r="I331" s="16">
        <f>IF(AND(G331&lt;&gt;"",H331&lt;&gt;""),MAX(0,IF(ISNUMBER(H331),H331,DATEVALUE(H331))-IF(ISNUMBER(G331),G331,DATEVALUE(G331))),"")</f>
        <v/>
      </c>
    </row>
    <row r="332">
      <c r="I332" s="16">
        <f>IF(AND(G332&lt;&gt;"",H332&lt;&gt;""),MAX(0,IF(ISNUMBER(H332),H332,DATEVALUE(H332))-IF(ISNUMBER(G332),G332,DATEVALUE(G332))),"")</f>
        <v/>
      </c>
    </row>
    <row r="333">
      <c r="I333" s="16">
        <f>IF(AND(G333&lt;&gt;"",H333&lt;&gt;""),MAX(0,IF(ISNUMBER(H333),H333,DATEVALUE(H333))-IF(ISNUMBER(G333),G333,DATEVALUE(G333))),"")</f>
        <v/>
      </c>
    </row>
    <row r="334">
      <c r="I334" s="16">
        <f>IF(AND(G334&lt;&gt;"",H334&lt;&gt;""),MAX(0,IF(ISNUMBER(H334),H334,DATEVALUE(H334))-IF(ISNUMBER(G334),G334,DATEVALUE(G334))),"")</f>
        <v/>
      </c>
    </row>
    <row r="335">
      <c r="I335" s="16">
        <f>IF(AND(G335&lt;&gt;"",H335&lt;&gt;""),MAX(0,IF(ISNUMBER(H335),H335,DATEVALUE(H335))-IF(ISNUMBER(G335),G335,DATEVALUE(G335))),"")</f>
        <v/>
      </c>
    </row>
    <row r="336">
      <c r="I336" s="16">
        <f>IF(AND(G336&lt;&gt;"",H336&lt;&gt;""),MAX(0,IF(ISNUMBER(H336),H336,DATEVALUE(H336))-IF(ISNUMBER(G336),G336,DATEVALUE(G336))),"")</f>
        <v/>
      </c>
    </row>
    <row r="337">
      <c r="I337" s="16">
        <f>IF(AND(G337&lt;&gt;"",H337&lt;&gt;""),MAX(0,IF(ISNUMBER(H337),H337,DATEVALUE(H337))-IF(ISNUMBER(G337),G337,DATEVALUE(G337))),"")</f>
        <v/>
      </c>
    </row>
    <row r="338">
      <c r="I338" s="16">
        <f>IF(AND(G338&lt;&gt;"",H338&lt;&gt;""),MAX(0,IF(ISNUMBER(H338),H338,DATEVALUE(H338))-IF(ISNUMBER(G338),G338,DATEVALUE(G338))),"")</f>
        <v/>
      </c>
    </row>
    <row r="339">
      <c r="I339" s="16">
        <f>IF(AND(G339&lt;&gt;"",H339&lt;&gt;""),MAX(0,IF(ISNUMBER(H339),H339,DATEVALUE(H339))-IF(ISNUMBER(G339),G339,DATEVALUE(G339))),"")</f>
        <v/>
      </c>
    </row>
    <row r="340">
      <c r="I340" s="16">
        <f>IF(AND(G340&lt;&gt;"",H340&lt;&gt;""),MAX(0,IF(ISNUMBER(H340),H340,DATEVALUE(H340))-IF(ISNUMBER(G340),G340,DATEVALUE(G340))),"")</f>
        <v/>
      </c>
    </row>
    <row r="341">
      <c r="I341" s="16">
        <f>IF(AND(G341&lt;&gt;"",H341&lt;&gt;""),MAX(0,IF(ISNUMBER(H341),H341,DATEVALUE(H341))-IF(ISNUMBER(G341),G341,DATEVALUE(G341))),"")</f>
        <v/>
      </c>
    </row>
    <row r="342">
      <c r="I342" s="16">
        <f>IF(AND(G342&lt;&gt;"",H342&lt;&gt;""),MAX(0,IF(ISNUMBER(H342),H342,DATEVALUE(H342))-IF(ISNUMBER(G342),G342,DATEVALUE(G342))),"")</f>
        <v/>
      </c>
    </row>
    <row r="343">
      <c r="I343" s="16">
        <f>IF(AND(G343&lt;&gt;"",H343&lt;&gt;""),MAX(0,IF(ISNUMBER(H343),H343,DATEVALUE(H343))-IF(ISNUMBER(G343),G343,DATEVALUE(G343))),"")</f>
        <v/>
      </c>
    </row>
    <row r="344">
      <c r="I344" s="16">
        <f>IF(AND(G344&lt;&gt;"",H344&lt;&gt;""),MAX(0,IF(ISNUMBER(H344),H344,DATEVALUE(H344))-IF(ISNUMBER(G344),G344,DATEVALUE(G344))),"")</f>
        <v/>
      </c>
    </row>
    <row r="345">
      <c r="I345" s="16">
        <f>IF(AND(G345&lt;&gt;"",H345&lt;&gt;""),MAX(0,IF(ISNUMBER(H345),H345,DATEVALUE(H345))-IF(ISNUMBER(G345),G345,DATEVALUE(G345))),"")</f>
        <v/>
      </c>
    </row>
    <row r="346">
      <c r="I346" s="16">
        <f>IF(AND(G346&lt;&gt;"",H346&lt;&gt;""),MAX(0,IF(ISNUMBER(H346),H346,DATEVALUE(H346))-IF(ISNUMBER(G346),G346,DATEVALUE(G346))),"")</f>
        <v/>
      </c>
    </row>
    <row r="347">
      <c r="I347" s="16">
        <f>IF(AND(G347&lt;&gt;"",H347&lt;&gt;""),MAX(0,IF(ISNUMBER(H347),H347,DATEVALUE(H347))-IF(ISNUMBER(G347),G347,DATEVALUE(G347))),"")</f>
        <v/>
      </c>
    </row>
    <row r="348">
      <c r="I348" s="16">
        <f>IF(AND(G348&lt;&gt;"",H348&lt;&gt;""),MAX(0,IF(ISNUMBER(H348),H348,DATEVALUE(H348))-IF(ISNUMBER(G348),G348,DATEVALUE(G348))),"")</f>
        <v/>
      </c>
    </row>
    <row r="349">
      <c r="I349" s="16">
        <f>IF(AND(G349&lt;&gt;"",H349&lt;&gt;""),MAX(0,IF(ISNUMBER(H349),H349,DATEVALUE(H349))-IF(ISNUMBER(G349),G349,DATEVALUE(G349))),"")</f>
        <v/>
      </c>
    </row>
    <row r="350">
      <c r="I350" s="16">
        <f>IF(AND(G350&lt;&gt;"",H350&lt;&gt;""),MAX(0,IF(ISNUMBER(H350),H350,DATEVALUE(H350))-IF(ISNUMBER(G350),G350,DATEVALUE(G350))),"")</f>
        <v/>
      </c>
    </row>
    <row r="351">
      <c r="I351" s="16">
        <f>IF(AND(G351&lt;&gt;"",H351&lt;&gt;""),MAX(0,IF(ISNUMBER(H351),H351,DATEVALUE(H351))-IF(ISNUMBER(G351),G351,DATEVALUE(G351))),"")</f>
        <v/>
      </c>
    </row>
    <row r="352">
      <c r="I352" s="16">
        <f>IF(AND(G352&lt;&gt;"",H352&lt;&gt;""),MAX(0,IF(ISNUMBER(H352),H352,DATEVALUE(H352))-IF(ISNUMBER(G352),G352,DATEVALUE(G352))),"")</f>
        <v/>
      </c>
    </row>
    <row r="353">
      <c r="I353" s="16">
        <f>IF(AND(G353&lt;&gt;"",H353&lt;&gt;""),MAX(0,IF(ISNUMBER(H353),H353,DATEVALUE(H353))-IF(ISNUMBER(G353),G353,DATEVALUE(G353))),"")</f>
        <v/>
      </c>
    </row>
    <row r="354">
      <c r="I354" s="16">
        <f>IF(AND(G354&lt;&gt;"",H354&lt;&gt;""),MAX(0,IF(ISNUMBER(H354),H354,DATEVALUE(H354))-IF(ISNUMBER(G354),G354,DATEVALUE(G354))),"")</f>
        <v/>
      </c>
    </row>
    <row r="355">
      <c r="I355" s="16">
        <f>IF(AND(G355&lt;&gt;"",H355&lt;&gt;""),MAX(0,IF(ISNUMBER(H355),H355,DATEVALUE(H355))-IF(ISNUMBER(G355),G355,DATEVALUE(G355))),"")</f>
        <v/>
      </c>
    </row>
    <row r="356">
      <c r="I356" s="16">
        <f>IF(AND(G356&lt;&gt;"",H356&lt;&gt;""),MAX(0,IF(ISNUMBER(H356),H356,DATEVALUE(H356))-IF(ISNUMBER(G356),G356,DATEVALUE(G356))),"")</f>
        <v/>
      </c>
    </row>
    <row r="357">
      <c r="I357" s="16">
        <f>IF(AND(G357&lt;&gt;"",H357&lt;&gt;""),MAX(0,IF(ISNUMBER(H357),H357,DATEVALUE(H357))-IF(ISNUMBER(G357),G357,DATEVALUE(G357))),"")</f>
        <v/>
      </c>
    </row>
    <row r="358">
      <c r="I358" s="16">
        <f>IF(AND(G358&lt;&gt;"",H358&lt;&gt;""),MAX(0,IF(ISNUMBER(H358),H358,DATEVALUE(H358))-IF(ISNUMBER(G358),G358,DATEVALUE(G358))),"")</f>
        <v/>
      </c>
    </row>
    <row r="359">
      <c r="I359" s="16">
        <f>IF(AND(G359&lt;&gt;"",H359&lt;&gt;""),MAX(0,IF(ISNUMBER(H359),H359,DATEVALUE(H359))-IF(ISNUMBER(G359),G359,DATEVALUE(G359))),"")</f>
        <v/>
      </c>
    </row>
    <row r="360">
      <c r="I360" s="16">
        <f>IF(AND(G360&lt;&gt;"",H360&lt;&gt;""),MAX(0,IF(ISNUMBER(H360),H360,DATEVALUE(H360))-IF(ISNUMBER(G360),G360,DATEVALUE(G360))),"")</f>
        <v/>
      </c>
    </row>
    <row r="361">
      <c r="I361" s="16">
        <f>IF(AND(G361&lt;&gt;"",H361&lt;&gt;""),MAX(0,IF(ISNUMBER(H361),H361,DATEVALUE(H361))-IF(ISNUMBER(G361),G361,DATEVALUE(G361))),"")</f>
        <v/>
      </c>
    </row>
    <row r="362">
      <c r="I362" s="16">
        <f>IF(AND(G362&lt;&gt;"",H362&lt;&gt;""),MAX(0,IF(ISNUMBER(H362),H362,DATEVALUE(H362))-IF(ISNUMBER(G362),G362,DATEVALUE(G362))),"")</f>
        <v/>
      </c>
    </row>
    <row r="363">
      <c r="I363" s="16">
        <f>IF(AND(G363&lt;&gt;"",H363&lt;&gt;""),MAX(0,IF(ISNUMBER(H363),H363,DATEVALUE(H363))-IF(ISNUMBER(G363),G363,DATEVALUE(G363))),"")</f>
        <v/>
      </c>
    </row>
    <row r="364">
      <c r="I364" s="16">
        <f>IF(AND(G364&lt;&gt;"",H364&lt;&gt;""),MAX(0,IF(ISNUMBER(H364),H364,DATEVALUE(H364))-IF(ISNUMBER(G364),G364,DATEVALUE(G364))),"")</f>
        <v/>
      </c>
    </row>
    <row r="365">
      <c r="I365" s="16">
        <f>IF(AND(G365&lt;&gt;"",H365&lt;&gt;""),MAX(0,IF(ISNUMBER(H365),H365,DATEVALUE(H365))-IF(ISNUMBER(G365),G365,DATEVALUE(G365))),"")</f>
        <v/>
      </c>
    </row>
    <row r="366">
      <c r="I366" s="16">
        <f>IF(AND(G366&lt;&gt;"",H366&lt;&gt;""),MAX(0,IF(ISNUMBER(H366),H366,DATEVALUE(H366))-IF(ISNUMBER(G366),G366,DATEVALUE(G366))),"")</f>
        <v/>
      </c>
    </row>
    <row r="367">
      <c r="I367" s="16">
        <f>IF(AND(G367&lt;&gt;"",H367&lt;&gt;""),MAX(0,IF(ISNUMBER(H367),H367,DATEVALUE(H367))-IF(ISNUMBER(G367),G367,DATEVALUE(G367))),"")</f>
        <v/>
      </c>
    </row>
    <row r="368">
      <c r="I368" s="16">
        <f>IF(AND(G368&lt;&gt;"",H368&lt;&gt;""),MAX(0,IF(ISNUMBER(H368),H368,DATEVALUE(H368))-IF(ISNUMBER(G368),G368,DATEVALUE(G368))),"")</f>
        <v/>
      </c>
    </row>
    <row r="369">
      <c r="I369" s="16">
        <f>IF(AND(G369&lt;&gt;"",H369&lt;&gt;""),MAX(0,IF(ISNUMBER(H369),H369,DATEVALUE(H369))-IF(ISNUMBER(G369),G369,DATEVALUE(G369))),"")</f>
        <v/>
      </c>
    </row>
    <row r="370">
      <c r="I370" s="16">
        <f>IF(AND(G370&lt;&gt;"",H370&lt;&gt;""),MAX(0,IF(ISNUMBER(H370),H370,DATEVALUE(H370))-IF(ISNUMBER(G370),G370,DATEVALUE(G370))),"")</f>
        <v/>
      </c>
    </row>
    <row r="371">
      <c r="I371" s="16">
        <f>IF(AND(G371&lt;&gt;"",H371&lt;&gt;""),MAX(0,IF(ISNUMBER(H371),H371,DATEVALUE(H371))-IF(ISNUMBER(G371),G371,DATEVALUE(G371))),"")</f>
        <v/>
      </c>
    </row>
    <row r="372">
      <c r="I372" s="16">
        <f>IF(AND(G372&lt;&gt;"",H372&lt;&gt;""),MAX(0,IF(ISNUMBER(H372),H372,DATEVALUE(H372))-IF(ISNUMBER(G372),G372,DATEVALUE(G372))),"")</f>
        <v/>
      </c>
    </row>
    <row r="373">
      <c r="I373" s="16">
        <f>IF(AND(G373&lt;&gt;"",H373&lt;&gt;""),MAX(0,IF(ISNUMBER(H373),H373,DATEVALUE(H373))-IF(ISNUMBER(G373),G373,DATEVALUE(G373))),"")</f>
        <v/>
      </c>
    </row>
    <row r="374">
      <c r="I374" s="16">
        <f>IF(AND(G374&lt;&gt;"",H374&lt;&gt;""),MAX(0,IF(ISNUMBER(H374),H374,DATEVALUE(H374))-IF(ISNUMBER(G374),G374,DATEVALUE(G374))),"")</f>
        <v/>
      </c>
    </row>
    <row r="375">
      <c r="I375" s="16">
        <f>IF(AND(G375&lt;&gt;"",H375&lt;&gt;""),MAX(0,IF(ISNUMBER(H375),H375,DATEVALUE(H375))-IF(ISNUMBER(G375),G375,DATEVALUE(G375))),"")</f>
        <v/>
      </c>
    </row>
    <row r="376">
      <c r="I376" s="16">
        <f>IF(AND(G376&lt;&gt;"",H376&lt;&gt;""),MAX(0,IF(ISNUMBER(H376),H376,DATEVALUE(H376))-IF(ISNUMBER(G376),G376,DATEVALUE(G376))),"")</f>
        <v/>
      </c>
    </row>
    <row r="377">
      <c r="I377" s="16">
        <f>IF(AND(G377&lt;&gt;"",H377&lt;&gt;""),MAX(0,IF(ISNUMBER(H377),H377,DATEVALUE(H377))-IF(ISNUMBER(G377),G377,DATEVALUE(G377))),"")</f>
        <v/>
      </c>
    </row>
    <row r="378">
      <c r="I378" s="16">
        <f>IF(AND(G378&lt;&gt;"",H378&lt;&gt;""),MAX(0,IF(ISNUMBER(H378),H378,DATEVALUE(H378))-IF(ISNUMBER(G378),G378,DATEVALUE(G378))),"")</f>
        <v/>
      </c>
    </row>
    <row r="379">
      <c r="I379" s="16">
        <f>IF(AND(G379&lt;&gt;"",H379&lt;&gt;""),MAX(0,IF(ISNUMBER(H379),H379,DATEVALUE(H379))-IF(ISNUMBER(G379),G379,DATEVALUE(G379))),"")</f>
        <v/>
      </c>
    </row>
    <row r="380">
      <c r="I380" s="16">
        <f>IF(AND(G380&lt;&gt;"",H380&lt;&gt;""),MAX(0,IF(ISNUMBER(H380),H380,DATEVALUE(H380))-IF(ISNUMBER(G380),G380,DATEVALUE(G380))),"")</f>
        <v/>
      </c>
    </row>
    <row r="381">
      <c r="I381" s="16">
        <f>IF(AND(G381&lt;&gt;"",H381&lt;&gt;""),MAX(0,IF(ISNUMBER(H381),H381,DATEVALUE(H381))-IF(ISNUMBER(G381),G381,DATEVALUE(G381))),"")</f>
        <v/>
      </c>
    </row>
    <row r="382">
      <c r="I382" s="16">
        <f>IF(AND(G382&lt;&gt;"",H382&lt;&gt;""),MAX(0,IF(ISNUMBER(H382),H382,DATEVALUE(H382))-IF(ISNUMBER(G382),G382,DATEVALUE(G382))),"")</f>
        <v/>
      </c>
    </row>
    <row r="383">
      <c r="I383" s="16">
        <f>IF(AND(G383&lt;&gt;"",H383&lt;&gt;""),MAX(0,IF(ISNUMBER(H383),H383,DATEVALUE(H383))-IF(ISNUMBER(G383),G383,DATEVALUE(G383))),"")</f>
        <v/>
      </c>
    </row>
    <row r="384">
      <c r="I384" s="16">
        <f>IF(AND(G384&lt;&gt;"",H384&lt;&gt;""),MAX(0,IF(ISNUMBER(H384),H384,DATEVALUE(H384))-IF(ISNUMBER(G384),G384,DATEVALUE(G384))),"")</f>
        <v/>
      </c>
    </row>
    <row r="385">
      <c r="I385" s="16">
        <f>IF(AND(G385&lt;&gt;"",H385&lt;&gt;""),MAX(0,IF(ISNUMBER(H385),H385,DATEVALUE(H385))-IF(ISNUMBER(G385),G385,DATEVALUE(G385))),"")</f>
        <v/>
      </c>
    </row>
    <row r="386">
      <c r="I386" s="16">
        <f>IF(AND(G386&lt;&gt;"",H386&lt;&gt;""),MAX(0,IF(ISNUMBER(H386),H386,DATEVALUE(H386))-IF(ISNUMBER(G386),G386,DATEVALUE(G386))),"")</f>
        <v/>
      </c>
    </row>
    <row r="387">
      <c r="I387" s="16">
        <f>IF(AND(G387&lt;&gt;"",H387&lt;&gt;""),MAX(0,IF(ISNUMBER(H387),H387,DATEVALUE(H387))-IF(ISNUMBER(G387),G387,DATEVALUE(G387))),"")</f>
        <v/>
      </c>
    </row>
    <row r="388">
      <c r="I388" s="16">
        <f>IF(AND(G388&lt;&gt;"",H388&lt;&gt;""),MAX(0,IF(ISNUMBER(H388),H388,DATEVALUE(H388))-IF(ISNUMBER(G388),G388,DATEVALUE(G388))),"")</f>
        <v/>
      </c>
    </row>
    <row r="389">
      <c r="I389" s="16">
        <f>IF(AND(G389&lt;&gt;"",H389&lt;&gt;""),MAX(0,IF(ISNUMBER(H389),H389,DATEVALUE(H389))-IF(ISNUMBER(G389),G389,DATEVALUE(G389))),"")</f>
        <v/>
      </c>
    </row>
    <row r="390">
      <c r="I390" s="16">
        <f>IF(AND(G390&lt;&gt;"",H390&lt;&gt;""),MAX(0,IF(ISNUMBER(H390),H390,DATEVALUE(H390))-IF(ISNUMBER(G390),G390,DATEVALUE(G390))),"")</f>
        <v/>
      </c>
    </row>
    <row r="391">
      <c r="I391" s="16">
        <f>IF(AND(G391&lt;&gt;"",H391&lt;&gt;""),MAX(0,IF(ISNUMBER(H391),H391,DATEVALUE(H391))-IF(ISNUMBER(G391),G391,DATEVALUE(G391))),"")</f>
        <v/>
      </c>
    </row>
    <row r="392">
      <c r="I392" s="16">
        <f>IF(AND(G392&lt;&gt;"",H392&lt;&gt;""),MAX(0,IF(ISNUMBER(H392),H392,DATEVALUE(H392))-IF(ISNUMBER(G392),G392,DATEVALUE(G392))),"")</f>
        <v/>
      </c>
    </row>
    <row r="393">
      <c r="I393" s="16">
        <f>IF(AND(G393&lt;&gt;"",H393&lt;&gt;""),MAX(0,IF(ISNUMBER(H393),H393,DATEVALUE(H393))-IF(ISNUMBER(G393),G393,DATEVALUE(G393))),"")</f>
        <v/>
      </c>
    </row>
    <row r="394">
      <c r="I394" s="16">
        <f>IF(AND(G394&lt;&gt;"",H394&lt;&gt;""),MAX(0,IF(ISNUMBER(H394),H394,DATEVALUE(H394))-IF(ISNUMBER(G394),G394,DATEVALUE(G394))),"")</f>
        <v/>
      </c>
    </row>
    <row r="395">
      <c r="I395" s="16">
        <f>IF(AND(G395&lt;&gt;"",H395&lt;&gt;""),MAX(0,IF(ISNUMBER(H395),H395,DATEVALUE(H395))-IF(ISNUMBER(G395),G395,DATEVALUE(G395))),"")</f>
        <v/>
      </c>
    </row>
    <row r="396">
      <c r="I396" s="16">
        <f>IF(AND(G396&lt;&gt;"",H396&lt;&gt;""),MAX(0,IF(ISNUMBER(H396),H396,DATEVALUE(H396))-IF(ISNUMBER(G396),G396,DATEVALUE(G396))),"")</f>
        <v/>
      </c>
    </row>
    <row r="397">
      <c r="I397" s="16">
        <f>IF(AND(G397&lt;&gt;"",H397&lt;&gt;""),MAX(0,IF(ISNUMBER(H397),H397,DATEVALUE(H397))-IF(ISNUMBER(G397),G397,DATEVALUE(G397))),"")</f>
        <v/>
      </c>
    </row>
    <row r="398">
      <c r="I398" s="16">
        <f>IF(AND(G398&lt;&gt;"",H398&lt;&gt;""),MAX(0,IF(ISNUMBER(H398),H398,DATEVALUE(H398))-IF(ISNUMBER(G398),G398,DATEVALUE(G398))),"")</f>
        <v/>
      </c>
    </row>
    <row r="399">
      <c r="I399" s="16">
        <f>IF(AND(G399&lt;&gt;"",H399&lt;&gt;""),MAX(0,IF(ISNUMBER(H399),H399,DATEVALUE(H399))-IF(ISNUMBER(G399),G399,DATEVALUE(G399))),"")</f>
        <v/>
      </c>
    </row>
    <row r="400">
      <c r="I400" s="16">
        <f>IF(AND(G400&lt;&gt;"",H400&lt;&gt;""),MAX(0,IF(ISNUMBER(H400),H400,DATEVALUE(H400))-IF(ISNUMBER(G400),G400,DATEVALUE(G400))),"")</f>
        <v/>
      </c>
    </row>
    <row r="401">
      <c r="I401" s="16">
        <f>IF(AND(G401&lt;&gt;"",H401&lt;&gt;""),MAX(0,IF(ISNUMBER(H401),H401,DATEVALUE(H401))-IF(ISNUMBER(G401),G401,DATEVALUE(G401))),"")</f>
        <v/>
      </c>
    </row>
    <row r="402">
      <c r="I402" s="16">
        <f>IF(AND(G402&lt;&gt;"",H402&lt;&gt;""),MAX(0,IF(ISNUMBER(H402),H402,DATEVALUE(H402))-IF(ISNUMBER(G402),G402,DATEVALUE(G402))),"")</f>
        <v/>
      </c>
    </row>
    <row r="403">
      <c r="I403" s="16">
        <f>IF(AND(G403&lt;&gt;"",H403&lt;&gt;""),MAX(0,IF(ISNUMBER(H403),H403,DATEVALUE(H403))-IF(ISNUMBER(G403),G403,DATEVALUE(G403))),"")</f>
        <v/>
      </c>
    </row>
    <row r="404">
      <c r="I404" s="16">
        <f>IF(AND(G404&lt;&gt;"",H404&lt;&gt;""),MAX(0,IF(ISNUMBER(H404),H404,DATEVALUE(H404))-IF(ISNUMBER(G404),G404,DATEVALUE(G404))),"")</f>
        <v/>
      </c>
    </row>
    <row r="405">
      <c r="I405" s="16">
        <f>IF(AND(G405&lt;&gt;"",H405&lt;&gt;""),MAX(0,IF(ISNUMBER(H405),H405,DATEVALUE(H405))-IF(ISNUMBER(G405),G405,DATEVALUE(G405))),"")</f>
        <v/>
      </c>
    </row>
    <row r="406">
      <c r="I406" s="16">
        <f>IF(AND(G406&lt;&gt;"",H406&lt;&gt;""),MAX(0,IF(ISNUMBER(H406),H406,DATEVALUE(H406))-IF(ISNUMBER(G406),G406,DATEVALUE(G406))),"")</f>
        <v/>
      </c>
    </row>
    <row r="407">
      <c r="I407" s="16">
        <f>IF(AND(G407&lt;&gt;"",H407&lt;&gt;""),MAX(0,IF(ISNUMBER(H407),H407,DATEVALUE(H407))-IF(ISNUMBER(G407),G407,DATEVALUE(G407))),"")</f>
        <v/>
      </c>
    </row>
    <row r="408">
      <c r="I408" s="16">
        <f>IF(AND(G408&lt;&gt;"",H408&lt;&gt;""),MAX(0,IF(ISNUMBER(H408),H408,DATEVALUE(H408))-IF(ISNUMBER(G408),G408,DATEVALUE(G408))),"")</f>
        <v/>
      </c>
    </row>
    <row r="409">
      <c r="I409" s="16">
        <f>IF(AND(G409&lt;&gt;"",H409&lt;&gt;""),MAX(0,IF(ISNUMBER(H409),H409,DATEVALUE(H409))-IF(ISNUMBER(G409),G409,DATEVALUE(G409))),"")</f>
        <v/>
      </c>
    </row>
    <row r="410">
      <c r="I410" s="16">
        <f>IF(AND(G410&lt;&gt;"",H410&lt;&gt;""),MAX(0,IF(ISNUMBER(H410),H410,DATEVALUE(H410))-IF(ISNUMBER(G410),G410,DATEVALUE(G410))),"")</f>
        <v/>
      </c>
    </row>
    <row r="411">
      <c r="I411" s="16">
        <f>IF(AND(G411&lt;&gt;"",H411&lt;&gt;""),MAX(0,IF(ISNUMBER(H411),H411,DATEVALUE(H411))-IF(ISNUMBER(G411),G411,DATEVALUE(G411))),"")</f>
        <v/>
      </c>
    </row>
    <row r="412">
      <c r="I412" s="16">
        <f>IF(AND(G412&lt;&gt;"",H412&lt;&gt;""),MAX(0,IF(ISNUMBER(H412),H412,DATEVALUE(H412))-IF(ISNUMBER(G412),G412,DATEVALUE(G412))),"")</f>
        <v/>
      </c>
    </row>
    <row r="413">
      <c r="I413" s="16">
        <f>IF(AND(G413&lt;&gt;"",H413&lt;&gt;""),MAX(0,IF(ISNUMBER(H413),H413,DATEVALUE(H413))-IF(ISNUMBER(G413),G413,DATEVALUE(G413))),"")</f>
        <v/>
      </c>
    </row>
    <row r="414">
      <c r="I414" s="16">
        <f>IF(AND(G414&lt;&gt;"",H414&lt;&gt;""),MAX(0,IF(ISNUMBER(H414),H414,DATEVALUE(H414))-IF(ISNUMBER(G414),G414,DATEVALUE(G414))),"")</f>
        <v/>
      </c>
    </row>
    <row r="415">
      <c r="I415" s="16">
        <f>IF(AND(G415&lt;&gt;"",H415&lt;&gt;""),MAX(0,IF(ISNUMBER(H415),H415,DATEVALUE(H415))-IF(ISNUMBER(G415),G415,DATEVALUE(G415))),"")</f>
        <v/>
      </c>
    </row>
    <row r="416">
      <c r="I416" s="16">
        <f>IF(AND(G416&lt;&gt;"",H416&lt;&gt;""),MAX(0,IF(ISNUMBER(H416),H416,DATEVALUE(H416))-IF(ISNUMBER(G416),G416,DATEVALUE(G416))),"")</f>
        <v/>
      </c>
    </row>
    <row r="417">
      <c r="I417" s="16">
        <f>IF(AND(G417&lt;&gt;"",H417&lt;&gt;""),MAX(0,IF(ISNUMBER(H417),H417,DATEVALUE(H417))-IF(ISNUMBER(G417),G417,DATEVALUE(G417))),"")</f>
        <v/>
      </c>
    </row>
    <row r="418">
      <c r="I418" s="16">
        <f>IF(AND(G418&lt;&gt;"",H418&lt;&gt;""),MAX(0,IF(ISNUMBER(H418),H418,DATEVALUE(H418))-IF(ISNUMBER(G418),G418,DATEVALUE(G418))),"")</f>
        <v/>
      </c>
    </row>
    <row r="419">
      <c r="I419" s="16">
        <f>IF(AND(G419&lt;&gt;"",H419&lt;&gt;""),MAX(0,IF(ISNUMBER(H419),H419,DATEVALUE(H419))-IF(ISNUMBER(G419),G419,DATEVALUE(G419))),"")</f>
        <v/>
      </c>
    </row>
    <row r="420">
      <c r="I420" s="16">
        <f>IF(AND(G420&lt;&gt;"",H420&lt;&gt;""),MAX(0,IF(ISNUMBER(H420),H420,DATEVALUE(H420))-IF(ISNUMBER(G420),G420,DATEVALUE(G420))),"")</f>
        <v/>
      </c>
    </row>
    <row r="421">
      <c r="I421" s="16">
        <f>IF(AND(G421&lt;&gt;"",H421&lt;&gt;""),MAX(0,IF(ISNUMBER(H421),H421,DATEVALUE(H421))-IF(ISNUMBER(G421),G421,DATEVALUE(G421))),"")</f>
        <v/>
      </c>
    </row>
    <row r="422">
      <c r="I422" s="16">
        <f>IF(AND(G422&lt;&gt;"",H422&lt;&gt;""),MAX(0,IF(ISNUMBER(H422),H422,DATEVALUE(H422))-IF(ISNUMBER(G422),G422,DATEVALUE(G422))),"")</f>
        <v/>
      </c>
    </row>
    <row r="423">
      <c r="I423" s="16">
        <f>IF(AND(G423&lt;&gt;"",H423&lt;&gt;""),MAX(0,IF(ISNUMBER(H423),H423,DATEVALUE(H423))-IF(ISNUMBER(G423),G423,DATEVALUE(G423))),"")</f>
        <v/>
      </c>
    </row>
    <row r="424">
      <c r="I424" s="16">
        <f>IF(AND(G424&lt;&gt;"",H424&lt;&gt;""),MAX(0,IF(ISNUMBER(H424),H424,DATEVALUE(H424))-IF(ISNUMBER(G424),G424,DATEVALUE(G424))),"")</f>
        <v/>
      </c>
    </row>
    <row r="425">
      <c r="I425" s="16">
        <f>IF(AND(G425&lt;&gt;"",H425&lt;&gt;""),MAX(0,IF(ISNUMBER(H425),H425,DATEVALUE(H425))-IF(ISNUMBER(G425),G425,DATEVALUE(G425))),"")</f>
        <v/>
      </c>
    </row>
    <row r="426">
      <c r="I426" s="16">
        <f>IF(AND(G426&lt;&gt;"",H426&lt;&gt;""),MAX(0,IF(ISNUMBER(H426),H426,DATEVALUE(H426))-IF(ISNUMBER(G426),G426,DATEVALUE(G426))),"")</f>
        <v/>
      </c>
    </row>
    <row r="427">
      <c r="I427" s="16">
        <f>IF(AND(G427&lt;&gt;"",H427&lt;&gt;""),MAX(0,IF(ISNUMBER(H427),H427,DATEVALUE(H427))-IF(ISNUMBER(G427),G427,DATEVALUE(G427))),"")</f>
        <v/>
      </c>
    </row>
    <row r="428">
      <c r="I428" s="16">
        <f>IF(AND(G428&lt;&gt;"",H428&lt;&gt;""),MAX(0,IF(ISNUMBER(H428),H428,DATEVALUE(H428))-IF(ISNUMBER(G428),G428,DATEVALUE(G428))),"")</f>
        <v/>
      </c>
    </row>
    <row r="429">
      <c r="I429" s="16">
        <f>IF(AND(G429&lt;&gt;"",H429&lt;&gt;""),MAX(0,IF(ISNUMBER(H429),H429,DATEVALUE(H429))-IF(ISNUMBER(G429),G429,DATEVALUE(G429))),"")</f>
        <v/>
      </c>
    </row>
    <row r="430">
      <c r="I430" s="16">
        <f>IF(AND(G430&lt;&gt;"",H430&lt;&gt;""),MAX(0,IF(ISNUMBER(H430),H430,DATEVALUE(H430))-IF(ISNUMBER(G430),G430,DATEVALUE(G430))),"")</f>
        <v/>
      </c>
    </row>
    <row r="431">
      <c r="I431" s="16">
        <f>IF(AND(G431&lt;&gt;"",H431&lt;&gt;""),MAX(0,IF(ISNUMBER(H431),H431,DATEVALUE(H431))-IF(ISNUMBER(G431),G431,DATEVALUE(G431))),"")</f>
        <v/>
      </c>
    </row>
    <row r="432">
      <c r="I432" s="16">
        <f>IF(AND(G432&lt;&gt;"",H432&lt;&gt;""),MAX(0,IF(ISNUMBER(H432),H432,DATEVALUE(H432))-IF(ISNUMBER(G432),G432,DATEVALUE(G432))),"")</f>
        <v/>
      </c>
    </row>
    <row r="433">
      <c r="I433" s="16">
        <f>IF(AND(G433&lt;&gt;"",H433&lt;&gt;""),MAX(0,IF(ISNUMBER(H433),H433,DATEVALUE(H433))-IF(ISNUMBER(G433),G433,DATEVALUE(G433))),"")</f>
        <v/>
      </c>
    </row>
    <row r="434">
      <c r="I434" s="16">
        <f>IF(AND(G434&lt;&gt;"",H434&lt;&gt;""),MAX(0,IF(ISNUMBER(H434),H434,DATEVALUE(H434))-IF(ISNUMBER(G434),G434,DATEVALUE(G434))),"")</f>
        <v/>
      </c>
    </row>
    <row r="435">
      <c r="I435" s="16">
        <f>IF(AND(G435&lt;&gt;"",H435&lt;&gt;""),MAX(0,IF(ISNUMBER(H435),H435,DATEVALUE(H435))-IF(ISNUMBER(G435),G435,DATEVALUE(G435))),"")</f>
        <v/>
      </c>
    </row>
    <row r="436">
      <c r="I436" s="16">
        <f>IF(AND(G436&lt;&gt;"",H436&lt;&gt;""),MAX(0,IF(ISNUMBER(H436),H436,DATEVALUE(H436))-IF(ISNUMBER(G436),G436,DATEVALUE(G436))),"")</f>
        <v/>
      </c>
    </row>
    <row r="437">
      <c r="I437" s="16">
        <f>IF(AND(G437&lt;&gt;"",H437&lt;&gt;""),MAX(0,IF(ISNUMBER(H437),H437,DATEVALUE(H437))-IF(ISNUMBER(G437),G437,DATEVALUE(G437))),"")</f>
        <v/>
      </c>
    </row>
    <row r="438">
      <c r="I438" s="16">
        <f>IF(AND(G438&lt;&gt;"",H438&lt;&gt;""),MAX(0,IF(ISNUMBER(H438),H438,DATEVALUE(H438))-IF(ISNUMBER(G438),G438,DATEVALUE(G438))),"")</f>
        <v/>
      </c>
    </row>
    <row r="439">
      <c r="I439" s="16">
        <f>IF(AND(G439&lt;&gt;"",H439&lt;&gt;""),MAX(0,IF(ISNUMBER(H439),H439,DATEVALUE(H439))-IF(ISNUMBER(G439),G439,DATEVALUE(G439))),"")</f>
        <v/>
      </c>
    </row>
    <row r="440">
      <c r="I440" s="16">
        <f>IF(AND(G440&lt;&gt;"",H440&lt;&gt;""),MAX(0,IF(ISNUMBER(H440),H440,DATEVALUE(H440))-IF(ISNUMBER(G440),G440,DATEVALUE(G440))),"")</f>
        <v/>
      </c>
    </row>
    <row r="441">
      <c r="I441" s="16">
        <f>IF(AND(G441&lt;&gt;"",H441&lt;&gt;""),MAX(0,IF(ISNUMBER(H441),H441,DATEVALUE(H441))-IF(ISNUMBER(G441),G441,DATEVALUE(G441))),"")</f>
        <v/>
      </c>
    </row>
    <row r="442">
      <c r="I442" s="16">
        <f>IF(AND(G442&lt;&gt;"",H442&lt;&gt;""),MAX(0,IF(ISNUMBER(H442),H442,DATEVALUE(H442))-IF(ISNUMBER(G442),G442,DATEVALUE(G442))),"")</f>
        <v/>
      </c>
    </row>
    <row r="443">
      <c r="I443" s="16">
        <f>IF(AND(G443&lt;&gt;"",H443&lt;&gt;""),MAX(0,IF(ISNUMBER(H443),H443,DATEVALUE(H443))-IF(ISNUMBER(G443),G443,DATEVALUE(G443))),"")</f>
        <v/>
      </c>
    </row>
    <row r="444">
      <c r="I444" s="16">
        <f>IF(AND(G444&lt;&gt;"",H444&lt;&gt;""),MAX(0,IF(ISNUMBER(H444),H444,DATEVALUE(H444))-IF(ISNUMBER(G444),G444,DATEVALUE(G444))),"")</f>
        <v/>
      </c>
    </row>
    <row r="445">
      <c r="I445" s="16">
        <f>IF(AND(G445&lt;&gt;"",H445&lt;&gt;""),MAX(0,IF(ISNUMBER(H445),H445,DATEVALUE(H445))-IF(ISNUMBER(G445),G445,DATEVALUE(G445))),"")</f>
        <v/>
      </c>
    </row>
    <row r="446">
      <c r="I446" s="16">
        <f>IF(AND(G446&lt;&gt;"",H446&lt;&gt;""),MAX(0,IF(ISNUMBER(H446),H446,DATEVALUE(H446))-IF(ISNUMBER(G446),G446,DATEVALUE(G446))),"")</f>
        <v/>
      </c>
    </row>
    <row r="447">
      <c r="I447" s="16">
        <f>IF(AND(G447&lt;&gt;"",H447&lt;&gt;""),MAX(0,IF(ISNUMBER(H447),H447,DATEVALUE(H447))-IF(ISNUMBER(G447),G447,DATEVALUE(G447))),"")</f>
        <v/>
      </c>
    </row>
    <row r="448">
      <c r="I448" s="16">
        <f>IF(AND(G448&lt;&gt;"",H448&lt;&gt;""),MAX(0,IF(ISNUMBER(H448),H448,DATEVALUE(H448))-IF(ISNUMBER(G448),G448,DATEVALUE(G448))),"")</f>
        <v/>
      </c>
    </row>
    <row r="449">
      <c r="I449" s="16">
        <f>IF(AND(G449&lt;&gt;"",H449&lt;&gt;""),MAX(0,IF(ISNUMBER(H449),H449,DATEVALUE(H449))-IF(ISNUMBER(G449),G449,DATEVALUE(G449))),"")</f>
        <v/>
      </c>
    </row>
    <row r="450">
      <c r="I450" s="16">
        <f>IF(AND(G450&lt;&gt;"",H450&lt;&gt;""),MAX(0,IF(ISNUMBER(H450),H450,DATEVALUE(H450))-IF(ISNUMBER(G450),G450,DATEVALUE(G450))),"")</f>
        <v/>
      </c>
    </row>
    <row r="451">
      <c r="I451" s="16">
        <f>IF(AND(G451&lt;&gt;"",H451&lt;&gt;""),MAX(0,IF(ISNUMBER(H451),H451,DATEVALUE(H451))-IF(ISNUMBER(G451),G451,DATEVALUE(G451))),"")</f>
        <v/>
      </c>
    </row>
    <row r="452">
      <c r="I452" s="16">
        <f>IF(AND(G452&lt;&gt;"",H452&lt;&gt;""),MAX(0,IF(ISNUMBER(H452),H452,DATEVALUE(H452))-IF(ISNUMBER(G452),G452,DATEVALUE(G452))),"")</f>
        <v/>
      </c>
    </row>
    <row r="453">
      <c r="I453" s="16">
        <f>IF(AND(G453&lt;&gt;"",H453&lt;&gt;""),MAX(0,IF(ISNUMBER(H453),H453,DATEVALUE(H453))-IF(ISNUMBER(G453),G453,DATEVALUE(G453))),"")</f>
        <v/>
      </c>
    </row>
    <row r="454">
      <c r="I454" s="16">
        <f>IF(AND(G454&lt;&gt;"",H454&lt;&gt;""),MAX(0,IF(ISNUMBER(H454),H454,DATEVALUE(H454))-IF(ISNUMBER(G454),G454,DATEVALUE(G454))),"")</f>
        <v/>
      </c>
    </row>
    <row r="455">
      <c r="I455" s="16">
        <f>IF(AND(G455&lt;&gt;"",H455&lt;&gt;""),MAX(0,IF(ISNUMBER(H455),H455,DATEVALUE(H455))-IF(ISNUMBER(G455),G455,DATEVALUE(G455))),"")</f>
        <v/>
      </c>
    </row>
    <row r="456">
      <c r="I456" s="16">
        <f>IF(AND(G456&lt;&gt;"",H456&lt;&gt;""),MAX(0,IF(ISNUMBER(H456),H456,DATEVALUE(H456))-IF(ISNUMBER(G456),G456,DATEVALUE(G456))),"")</f>
        <v/>
      </c>
    </row>
    <row r="457">
      <c r="I457" s="16">
        <f>IF(AND(G457&lt;&gt;"",H457&lt;&gt;""),MAX(0,IF(ISNUMBER(H457),H457,DATEVALUE(H457))-IF(ISNUMBER(G457),G457,DATEVALUE(G457))),"")</f>
        <v/>
      </c>
    </row>
    <row r="458">
      <c r="I458" s="16">
        <f>IF(AND(G458&lt;&gt;"",H458&lt;&gt;""),MAX(0,IF(ISNUMBER(H458),H458,DATEVALUE(H458))-IF(ISNUMBER(G458),G458,DATEVALUE(G458))),"")</f>
        <v/>
      </c>
    </row>
    <row r="459">
      <c r="I459" s="16">
        <f>IF(AND(G459&lt;&gt;"",H459&lt;&gt;""),MAX(0,IF(ISNUMBER(H459),H459,DATEVALUE(H459))-IF(ISNUMBER(G459),G459,DATEVALUE(G459))),"")</f>
        <v/>
      </c>
    </row>
    <row r="460">
      <c r="I460" s="16">
        <f>IF(AND(G460&lt;&gt;"",H460&lt;&gt;""),MAX(0,IF(ISNUMBER(H460),H460,DATEVALUE(H460))-IF(ISNUMBER(G460),G460,DATEVALUE(G460))),"")</f>
        <v/>
      </c>
    </row>
    <row r="461">
      <c r="I461" s="16">
        <f>IF(AND(G461&lt;&gt;"",H461&lt;&gt;""),MAX(0,IF(ISNUMBER(H461),H461,DATEVALUE(H461))-IF(ISNUMBER(G461),G461,DATEVALUE(G461))),"")</f>
        <v/>
      </c>
    </row>
    <row r="462">
      <c r="I462" s="16">
        <f>IF(AND(G462&lt;&gt;"",H462&lt;&gt;""),MAX(0,IF(ISNUMBER(H462),H462,DATEVALUE(H462))-IF(ISNUMBER(G462),G462,DATEVALUE(G462))),"")</f>
        <v/>
      </c>
    </row>
    <row r="463">
      <c r="I463" s="16">
        <f>IF(AND(G463&lt;&gt;"",H463&lt;&gt;""),MAX(0,IF(ISNUMBER(H463),H463,DATEVALUE(H463))-IF(ISNUMBER(G463),G463,DATEVALUE(G463))),"")</f>
        <v/>
      </c>
    </row>
    <row r="464">
      <c r="I464" s="16">
        <f>IF(AND(G464&lt;&gt;"",H464&lt;&gt;""),MAX(0,IF(ISNUMBER(H464),H464,DATEVALUE(H464))-IF(ISNUMBER(G464),G464,DATEVALUE(G464))),"")</f>
        <v/>
      </c>
    </row>
    <row r="465">
      <c r="I465" s="16">
        <f>IF(AND(G465&lt;&gt;"",H465&lt;&gt;""),MAX(0,IF(ISNUMBER(H465),H465,DATEVALUE(H465))-IF(ISNUMBER(G465),G465,DATEVALUE(G465))),"")</f>
        <v/>
      </c>
    </row>
    <row r="466">
      <c r="I466" s="16">
        <f>IF(AND(G466&lt;&gt;"",H466&lt;&gt;""),MAX(0,IF(ISNUMBER(H466),H466,DATEVALUE(H466))-IF(ISNUMBER(G466),G466,DATEVALUE(G466))),"")</f>
        <v/>
      </c>
    </row>
    <row r="467">
      <c r="I467" s="16">
        <f>IF(AND(G467&lt;&gt;"",H467&lt;&gt;""),MAX(0,IF(ISNUMBER(H467),H467,DATEVALUE(H467))-IF(ISNUMBER(G467),G467,DATEVALUE(G467))),"")</f>
        <v/>
      </c>
    </row>
    <row r="468">
      <c r="I468" s="16">
        <f>IF(AND(G468&lt;&gt;"",H468&lt;&gt;""),MAX(0,IF(ISNUMBER(H468),H468,DATEVALUE(H468))-IF(ISNUMBER(G468),G468,DATEVALUE(G468))),"")</f>
        <v/>
      </c>
    </row>
    <row r="469">
      <c r="I469" s="16">
        <f>IF(AND(G469&lt;&gt;"",H469&lt;&gt;""),MAX(0,IF(ISNUMBER(H469),H469,DATEVALUE(H469))-IF(ISNUMBER(G469),G469,DATEVALUE(G469))),"")</f>
        <v/>
      </c>
    </row>
    <row r="470">
      <c r="I470" s="16">
        <f>IF(AND(G470&lt;&gt;"",H470&lt;&gt;""),MAX(0,IF(ISNUMBER(H470),H470,DATEVALUE(H470))-IF(ISNUMBER(G470),G470,DATEVALUE(G470))),"")</f>
        <v/>
      </c>
    </row>
    <row r="471">
      <c r="I471" s="16">
        <f>IF(AND(G471&lt;&gt;"",H471&lt;&gt;""),MAX(0,IF(ISNUMBER(H471),H471,DATEVALUE(H471))-IF(ISNUMBER(G471),G471,DATEVALUE(G471))),"")</f>
        <v/>
      </c>
    </row>
    <row r="472">
      <c r="I472" s="16">
        <f>IF(AND(G472&lt;&gt;"",H472&lt;&gt;""),MAX(0,IF(ISNUMBER(H472),H472,DATEVALUE(H472))-IF(ISNUMBER(G472),G472,DATEVALUE(G472))),"")</f>
        <v/>
      </c>
    </row>
    <row r="473">
      <c r="I473" s="16">
        <f>IF(AND(G473&lt;&gt;"",H473&lt;&gt;""),MAX(0,IF(ISNUMBER(H473),H473,DATEVALUE(H473))-IF(ISNUMBER(G473),G473,DATEVALUE(G473))),"")</f>
        <v/>
      </c>
    </row>
    <row r="474">
      <c r="I474" s="16">
        <f>IF(AND(G474&lt;&gt;"",H474&lt;&gt;""),MAX(0,IF(ISNUMBER(H474),H474,DATEVALUE(H474))-IF(ISNUMBER(G474),G474,DATEVALUE(G474))),"")</f>
        <v/>
      </c>
    </row>
    <row r="475">
      <c r="I475" s="16">
        <f>IF(AND(G475&lt;&gt;"",H475&lt;&gt;""),MAX(0,IF(ISNUMBER(H475),H475,DATEVALUE(H475))-IF(ISNUMBER(G475),G475,DATEVALUE(G475))),"")</f>
        <v/>
      </c>
    </row>
    <row r="476">
      <c r="I476" s="16">
        <f>IF(AND(G476&lt;&gt;"",H476&lt;&gt;""),MAX(0,IF(ISNUMBER(H476),H476,DATEVALUE(H476))-IF(ISNUMBER(G476),G476,DATEVALUE(G476))),"")</f>
        <v/>
      </c>
    </row>
    <row r="477">
      <c r="I477" s="16">
        <f>IF(AND(G477&lt;&gt;"",H477&lt;&gt;""),MAX(0,IF(ISNUMBER(H477),H477,DATEVALUE(H477))-IF(ISNUMBER(G477),G477,DATEVALUE(G477))),"")</f>
        <v/>
      </c>
    </row>
    <row r="478">
      <c r="I478" s="16">
        <f>IF(AND(G478&lt;&gt;"",H478&lt;&gt;""),MAX(0,IF(ISNUMBER(H478),H478,DATEVALUE(H478))-IF(ISNUMBER(G478),G478,DATEVALUE(G478))),"")</f>
        <v/>
      </c>
    </row>
    <row r="479">
      <c r="I479" s="16">
        <f>IF(AND(G479&lt;&gt;"",H479&lt;&gt;""),MAX(0,IF(ISNUMBER(H479),H479,DATEVALUE(H479))-IF(ISNUMBER(G479),G479,DATEVALUE(G479))),"")</f>
        <v/>
      </c>
    </row>
    <row r="480">
      <c r="I480" s="16">
        <f>IF(AND(G480&lt;&gt;"",H480&lt;&gt;""),MAX(0,IF(ISNUMBER(H480),H480,DATEVALUE(H480))-IF(ISNUMBER(G480),G480,DATEVALUE(G480))),"")</f>
        <v/>
      </c>
    </row>
    <row r="481">
      <c r="I481" s="16">
        <f>IF(AND(G481&lt;&gt;"",H481&lt;&gt;""),MAX(0,IF(ISNUMBER(H481),H481,DATEVALUE(H481))-IF(ISNUMBER(G481),G481,DATEVALUE(G481))),"")</f>
        <v/>
      </c>
    </row>
    <row r="482">
      <c r="I482" s="16">
        <f>IF(AND(G482&lt;&gt;"",H482&lt;&gt;""),MAX(0,IF(ISNUMBER(H482),H482,DATEVALUE(H482))-IF(ISNUMBER(G482),G482,DATEVALUE(G482))),"")</f>
        <v/>
      </c>
    </row>
    <row r="483">
      <c r="I483" s="16">
        <f>IF(AND(G483&lt;&gt;"",H483&lt;&gt;""),MAX(0,IF(ISNUMBER(H483),H483,DATEVALUE(H483))-IF(ISNUMBER(G483),G483,DATEVALUE(G483))),"")</f>
        <v/>
      </c>
    </row>
    <row r="484">
      <c r="I484" s="16">
        <f>IF(AND(G484&lt;&gt;"",H484&lt;&gt;""),MAX(0,IF(ISNUMBER(H484),H484,DATEVALUE(H484))-IF(ISNUMBER(G484),G484,DATEVALUE(G484))),"")</f>
        <v/>
      </c>
    </row>
    <row r="485">
      <c r="I485" s="16">
        <f>IF(AND(G485&lt;&gt;"",H485&lt;&gt;""),MAX(0,IF(ISNUMBER(H485),H485,DATEVALUE(H485))-IF(ISNUMBER(G485),G485,DATEVALUE(G485))),"")</f>
        <v/>
      </c>
    </row>
    <row r="486">
      <c r="I486" s="16">
        <f>IF(AND(G486&lt;&gt;"",H486&lt;&gt;""),MAX(0,IF(ISNUMBER(H486),H486,DATEVALUE(H486))-IF(ISNUMBER(G486),G486,DATEVALUE(G486))),"")</f>
        <v/>
      </c>
    </row>
    <row r="487">
      <c r="I487" s="16">
        <f>IF(AND(G487&lt;&gt;"",H487&lt;&gt;""),MAX(0,IF(ISNUMBER(H487),H487,DATEVALUE(H487))-IF(ISNUMBER(G487),G487,DATEVALUE(G487))),"")</f>
        <v/>
      </c>
    </row>
    <row r="488">
      <c r="I488" s="16">
        <f>IF(AND(G488&lt;&gt;"",H488&lt;&gt;""),MAX(0,IF(ISNUMBER(H488),H488,DATEVALUE(H488))-IF(ISNUMBER(G488),G488,DATEVALUE(G488))),"")</f>
        <v/>
      </c>
    </row>
    <row r="489">
      <c r="I489" s="16">
        <f>IF(AND(G489&lt;&gt;"",H489&lt;&gt;""),MAX(0,IF(ISNUMBER(H489),H489,DATEVALUE(H489))-IF(ISNUMBER(G489),G489,DATEVALUE(G489))),"")</f>
        <v/>
      </c>
    </row>
    <row r="490">
      <c r="I490" s="16">
        <f>IF(AND(G490&lt;&gt;"",H490&lt;&gt;""),MAX(0,IF(ISNUMBER(H490),H490,DATEVALUE(H490))-IF(ISNUMBER(G490),G490,DATEVALUE(G490))),"")</f>
        <v/>
      </c>
    </row>
    <row r="491">
      <c r="I491" s="16">
        <f>IF(AND(G491&lt;&gt;"",H491&lt;&gt;""),MAX(0,IF(ISNUMBER(H491),H491,DATEVALUE(H491))-IF(ISNUMBER(G491),G491,DATEVALUE(G491))),"")</f>
        <v/>
      </c>
    </row>
    <row r="492">
      <c r="I492" s="16">
        <f>IF(AND(G492&lt;&gt;"",H492&lt;&gt;""),MAX(0,IF(ISNUMBER(H492),H492,DATEVALUE(H492))-IF(ISNUMBER(G492),G492,DATEVALUE(G492))),"")</f>
        <v/>
      </c>
    </row>
    <row r="493">
      <c r="I493" s="16">
        <f>IF(AND(G493&lt;&gt;"",H493&lt;&gt;""),MAX(0,IF(ISNUMBER(H493),H493,DATEVALUE(H493))-IF(ISNUMBER(G493),G493,DATEVALUE(G493))),"")</f>
        <v/>
      </c>
    </row>
    <row r="494">
      <c r="I494" s="16">
        <f>IF(AND(G494&lt;&gt;"",H494&lt;&gt;""),MAX(0,IF(ISNUMBER(H494),H494,DATEVALUE(H494))-IF(ISNUMBER(G494),G494,DATEVALUE(G494))),"")</f>
        <v/>
      </c>
    </row>
    <row r="495">
      <c r="I495" s="16">
        <f>IF(AND(G495&lt;&gt;"",H495&lt;&gt;""),MAX(0,IF(ISNUMBER(H495),H495,DATEVALUE(H495))-IF(ISNUMBER(G495),G495,DATEVALUE(G495))),"")</f>
        <v/>
      </c>
    </row>
    <row r="496">
      <c r="I496" s="16">
        <f>IF(AND(G496&lt;&gt;"",H496&lt;&gt;""),MAX(0,IF(ISNUMBER(H496),H496,DATEVALUE(H496))-IF(ISNUMBER(G496),G496,DATEVALUE(G496))),"")</f>
        <v/>
      </c>
    </row>
    <row r="497">
      <c r="I497" s="16">
        <f>IF(AND(G497&lt;&gt;"",H497&lt;&gt;""),MAX(0,IF(ISNUMBER(H497),H497,DATEVALUE(H497))-IF(ISNUMBER(G497),G497,DATEVALUE(G497))),"")</f>
        <v/>
      </c>
    </row>
    <row r="498">
      <c r="I498" s="16">
        <f>IF(AND(G498&lt;&gt;"",H498&lt;&gt;""),MAX(0,IF(ISNUMBER(H498),H498,DATEVALUE(H498))-IF(ISNUMBER(G498),G498,DATEVALUE(G498))),"")</f>
        <v/>
      </c>
    </row>
    <row r="499">
      <c r="I499" s="16">
        <f>IF(AND(G499&lt;&gt;"",H499&lt;&gt;""),MAX(0,IF(ISNUMBER(H499),H499,DATEVALUE(H499))-IF(ISNUMBER(G499),G499,DATEVALUE(G499))),"")</f>
        <v/>
      </c>
    </row>
  </sheetData>
  <mergeCells count="1">
    <mergeCell ref="A1:J1"/>
  </mergeCells>
  <dataValidations count="1">
    <dataValidation sqref="E3:E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4" customWidth="1" min="4" max="4"/>
    <col width="10" customWidth="1" min="5" max="5"/>
    <col width="12" customWidth="1" min="6" max="6"/>
    <col width="44" customWidth="1" min="7" max="7"/>
  </cols>
  <sheetData>
    <row r="1">
      <c r="A1" s="7" t="inlineStr">
        <is>
          <t>EVENTOS · Separa el atraso imputable al cliente del atraso de planta (define el cumplimiento real).  (Jefe de proyecto · cuando ocurre)</t>
        </is>
      </c>
    </row>
    <row r="2" ht="42" customHeight="1">
      <c r="A2" s="8" t="inlineStr">
        <is>
          <t>Código OT</t>
        </is>
      </c>
      <c r="B2" s="8" t="inlineStr">
        <is>
          <t>Fecha</t>
        </is>
      </c>
      <c r="C2" s="8" t="inlineStr">
        <is>
          <t>Tipo de evento</t>
        </is>
      </c>
      <c r="D2" s="8" t="inlineStr">
        <is>
          <t>Imputable a</t>
        </is>
      </c>
      <c r="E2" s="8" t="inlineStr">
        <is>
          <t>Días de impacto</t>
        </is>
      </c>
      <c r="F2" s="8" t="inlineStr">
        <is>
          <t>¿Se pidió ampliación?</t>
        </is>
      </c>
      <c r="G2" s="8" t="inlineStr">
        <is>
          <t>Descripción</t>
        </is>
      </c>
    </row>
    <row r="3">
      <c r="A3" s="9" t="inlineStr">
        <is>
          <t>OT-2026-015</t>
        </is>
      </c>
      <c r="B3" s="9" t="inlineStr">
        <is>
          <t>2026-10-28</t>
        </is>
      </c>
      <c r="C3" s="9" t="inlineStr">
        <is>
          <t>Retraso de información del cliente (RFI)</t>
        </is>
      </c>
      <c r="D3" s="9" t="inlineStr">
        <is>
          <t>Cliente</t>
        </is>
      </c>
      <c r="E3" s="9" t="n">
        <v>2</v>
      </c>
      <c r="F3" s="9" t="inlineStr">
        <is>
          <t>Sí</t>
        </is>
      </c>
      <c r="G3" s="9" t="inlineStr">
        <is>
          <t>Cliente demoró 4 días en confirmar espesor de placas base</t>
        </is>
      </c>
      <c r="H3" s="11" t="inlineStr">
        <is>
          <t>← EJEMPLO: borrar esta fila</t>
        </is>
      </c>
    </row>
    <row r="4">
      <c r="C4" s="12" t="n"/>
      <c r="D4" s="12" t="n"/>
      <c r="F4" s="12" t="n"/>
    </row>
    <row r="5">
      <c r="C5" s="12" t="n"/>
      <c r="D5" s="12" t="n"/>
      <c r="F5" s="12" t="n"/>
    </row>
    <row r="6">
      <c r="C6" s="12" t="n"/>
      <c r="D6" s="12" t="n"/>
      <c r="F6" s="12" t="n"/>
    </row>
    <row r="7">
      <c r="C7" s="12" t="n"/>
      <c r="D7" s="12" t="n"/>
      <c r="F7" s="12" t="n"/>
    </row>
    <row r="8">
      <c r="C8" s="12" t="n"/>
      <c r="D8" s="12" t="n"/>
      <c r="F8" s="12" t="n"/>
    </row>
    <row r="9">
      <c r="C9" s="12" t="n"/>
      <c r="D9" s="12" t="n"/>
      <c r="F9" s="12" t="n"/>
    </row>
    <row r="10">
      <c r="C10" s="12" t="n"/>
      <c r="D10" s="12" t="n"/>
      <c r="F10" s="12" t="n"/>
    </row>
    <row r="11">
      <c r="C11" s="12" t="n"/>
      <c r="D11" s="12" t="n"/>
      <c r="F11" s="12" t="n"/>
    </row>
    <row r="12">
      <c r="C12" s="12" t="n"/>
      <c r="D12" s="12" t="n"/>
      <c r="F12" s="12" t="n"/>
    </row>
    <row r="13">
      <c r="C13" s="12" t="n"/>
      <c r="D13" s="12" t="n"/>
      <c r="F13" s="12" t="n"/>
    </row>
    <row r="14">
      <c r="C14" s="12" t="n"/>
      <c r="D14" s="12" t="n"/>
      <c r="F14" s="12" t="n"/>
    </row>
    <row r="15">
      <c r="C15" s="12" t="n"/>
      <c r="D15" s="12" t="n"/>
      <c r="F15" s="12" t="n"/>
    </row>
    <row r="16">
      <c r="C16" s="12" t="n"/>
      <c r="D16" s="12" t="n"/>
      <c r="F16" s="12" t="n"/>
    </row>
    <row r="17">
      <c r="C17" s="12" t="n"/>
      <c r="D17" s="12" t="n"/>
      <c r="F17" s="12" t="n"/>
    </row>
    <row r="18">
      <c r="C18" s="12" t="n"/>
      <c r="D18" s="12" t="n"/>
      <c r="F18" s="12" t="n"/>
    </row>
    <row r="19">
      <c r="C19" s="12" t="n"/>
      <c r="D19" s="12" t="n"/>
      <c r="F19" s="12" t="n"/>
    </row>
    <row r="20">
      <c r="C20" s="12" t="n"/>
      <c r="D20" s="12" t="n"/>
      <c r="F20" s="12" t="n"/>
    </row>
    <row r="21">
      <c r="C21" s="12" t="n"/>
      <c r="D21" s="12" t="n"/>
      <c r="F21" s="12" t="n"/>
    </row>
    <row r="22">
      <c r="C22" s="12" t="n"/>
      <c r="D22" s="12" t="n"/>
      <c r="F22" s="12" t="n"/>
    </row>
    <row r="23">
      <c r="C23" s="12" t="n"/>
      <c r="D23" s="12" t="n"/>
      <c r="F23" s="12" t="n"/>
    </row>
    <row r="24">
      <c r="C24" s="12" t="n"/>
      <c r="D24" s="12" t="n"/>
      <c r="F24" s="12" t="n"/>
    </row>
    <row r="25">
      <c r="C25" s="12" t="n"/>
      <c r="D25" s="12" t="n"/>
      <c r="F25" s="12" t="n"/>
    </row>
    <row r="26">
      <c r="C26" s="12" t="n"/>
      <c r="D26" s="12" t="n"/>
      <c r="F26" s="12" t="n"/>
    </row>
    <row r="27">
      <c r="C27" s="12" t="n"/>
      <c r="D27" s="12" t="n"/>
      <c r="F27" s="12" t="n"/>
    </row>
    <row r="28">
      <c r="C28" s="12" t="n"/>
      <c r="D28" s="12" t="n"/>
      <c r="F28" s="12" t="n"/>
    </row>
    <row r="29">
      <c r="C29" s="12" t="n"/>
      <c r="D29" s="12" t="n"/>
      <c r="F29" s="12" t="n"/>
    </row>
    <row r="30">
      <c r="C30" s="12" t="n"/>
      <c r="D30" s="12" t="n"/>
      <c r="F30" s="12" t="n"/>
    </row>
    <row r="31">
      <c r="C31" s="12" t="n"/>
      <c r="D31" s="12" t="n"/>
      <c r="F31" s="12" t="n"/>
    </row>
    <row r="32">
      <c r="C32" s="12" t="n"/>
      <c r="D32" s="12" t="n"/>
      <c r="F32" s="12" t="n"/>
    </row>
    <row r="33">
      <c r="C33" s="12" t="n"/>
      <c r="D33" s="12" t="n"/>
      <c r="F33" s="12" t="n"/>
    </row>
    <row r="34">
      <c r="C34" s="12" t="n"/>
      <c r="D34" s="12" t="n"/>
      <c r="F34" s="12" t="n"/>
    </row>
    <row r="35">
      <c r="C35" s="12" t="n"/>
      <c r="D35" s="12" t="n"/>
      <c r="F35" s="12" t="n"/>
    </row>
    <row r="36">
      <c r="C36" s="12" t="n"/>
      <c r="D36" s="12" t="n"/>
      <c r="F36" s="12" t="n"/>
    </row>
    <row r="37">
      <c r="C37" s="12" t="n"/>
      <c r="D37" s="12" t="n"/>
      <c r="F37" s="12" t="n"/>
    </row>
    <row r="38">
      <c r="C38" s="12" t="n"/>
      <c r="D38" s="12" t="n"/>
      <c r="F38" s="12" t="n"/>
    </row>
    <row r="39">
      <c r="C39" s="12" t="n"/>
      <c r="D39" s="12" t="n"/>
      <c r="F39" s="12" t="n"/>
    </row>
    <row r="40">
      <c r="C40" s="12" t="n"/>
      <c r="D40" s="12" t="n"/>
      <c r="F40" s="12" t="n"/>
    </row>
    <row r="41">
      <c r="C41" s="12" t="n"/>
      <c r="D41" s="12" t="n"/>
      <c r="F41" s="12" t="n"/>
    </row>
    <row r="42">
      <c r="C42" s="12" t="n"/>
      <c r="D42" s="12" t="n"/>
      <c r="F42" s="12" t="n"/>
    </row>
    <row r="43">
      <c r="C43" s="12" t="n"/>
      <c r="D43" s="12" t="n"/>
      <c r="F43" s="12" t="n"/>
    </row>
    <row r="44">
      <c r="C44" s="12" t="n"/>
      <c r="D44" s="12" t="n"/>
      <c r="F44" s="12" t="n"/>
    </row>
    <row r="45">
      <c r="C45" s="12" t="n"/>
      <c r="D45" s="12" t="n"/>
      <c r="F45" s="12" t="n"/>
    </row>
    <row r="46">
      <c r="C46" s="12" t="n"/>
      <c r="D46" s="12" t="n"/>
      <c r="F46" s="12" t="n"/>
    </row>
    <row r="47">
      <c r="C47" s="12" t="n"/>
      <c r="D47" s="12" t="n"/>
      <c r="F47" s="12" t="n"/>
    </row>
    <row r="48">
      <c r="C48" s="12" t="n"/>
      <c r="D48" s="12" t="n"/>
      <c r="F48" s="12" t="n"/>
    </row>
    <row r="49">
      <c r="C49" s="12" t="n"/>
      <c r="D49" s="12" t="n"/>
      <c r="F49" s="12" t="n"/>
    </row>
    <row r="50">
      <c r="C50" s="12" t="n"/>
      <c r="D50" s="12" t="n"/>
      <c r="F50" s="12" t="n"/>
    </row>
    <row r="51">
      <c r="C51" s="12" t="n"/>
      <c r="D51" s="12" t="n"/>
      <c r="F51" s="12" t="n"/>
    </row>
    <row r="52">
      <c r="C52" s="12" t="n"/>
      <c r="D52" s="12" t="n"/>
      <c r="F52" s="12" t="n"/>
    </row>
    <row r="53">
      <c r="C53" s="12" t="n"/>
      <c r="D53" s="12" t="n"/>
      <c r="F53" s="12" t="n"/>
    </row>
    <row r="54">
      <c r="C54" s="12" t="n"/>
      <c r="D54" s="12" t="n"/>
      <c r="F54" s="12" t="n"/>
    </row>
    <row r="55">
      <c r="C55" s="12" t="n"/>
      <c r="D55" s="12" t="n"/>
      <c r="F55" s="12" t="n"/>
    </row>
    <row r="56">
      <c r="C56" s="12" t="n"/>
      <c r="D56" s="12" t="n"/>
      <c r="F56" s="12" t="n"/>
    </row>
    <row r="57">
      <c r="C57" s="12" t="n"/>
      <c r="D57" s="12" t="n"/>
      <c r="F57" s="12" t="n"/>
    </row>
    <row r="58">
      <c r="C58" s="12" t="n"/>
      <c r="D58" s="12" t="n"/>
      <c r="F58" s="12" t="n"/>
    </row>
    <row r="59">
      <c r="C59" s="12" t="n"/>
      <c r="D59" s="12" t="n"/>
      <c r="F59" s="12" t="n"/>
    </row>
  </sheetData>
  <mergeCells count="1">
    <mergeCell ref="A1:G1"/>
  </mergeCells>
  <dataValidations count="4">
    <dataValidation sqref="C3:C500" showDropDown="0" showInputMessage="0" showErrorMessage="1" allowBlank="1" errorTitle="Valor no válido" error="Elija un valor de la lista desplegable." type="list">
      <formula1>=LISTAS!$J$2:$J$9</formula1>
    </dataValidation>
    <dataValidation sqref="D3:D500" showDropDown="0" showInputMessage="0" showErrorMessage="1" allowBlank="1" errorTitle="Valor no válido" error="Elija un valor de la lista desplegable." type="list">
      <formula1>=LISTAS!$K$2:$K$6</formula1>
    </dataValidation>
    <dataValidation sqref="E3:E500" showDropDown="0" showInputMessage="0" showErrorMessage="1" allowBlank="1" error="Número mayor o igual a 0." type="decimal" operator="greaterThanOrEqual">
      <formula1>0</formula1>
    </dataValidation>
    <dataValidation sqref="F3:F500" showDropDown="0" showInputMessage="0" showErrorMessage="1" allowBlank="1" errorTitle="Valor no válido" error="Elija un valor de la lista desplegable." type="list">
      <formula1>=LISTAS!$G$2:$G$3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19" customWidth="1" min="3" max="3"/>
    <col width="23" customWidth="1" min="4" max="4"/>
    <col width="33" customWidth="1" min="5" max="5"/>
    <col width="31" customWidth="1" min="6" max="6"/>
    <col width="14" customWidth="1" min="7" max="7"/>
    <col width="23" customWidth="1" min="8" max="8"/>
    <col width="22" customWidth="1" min="9" max="9"/>
    <col width="42" customWidth="1" min="10" max="10"/>
    <col width="14" customWidth="1" min="11" max="11"/>
    <col width="14" customWidth="1" min="12" max="12"/>
    <col width="20" customWidth="1" min="13" max="13"/>
    <col width="14" customWidth="1" min="14" max="14"/>
  </cols>
  <sheetData>
    <row r="1">
      <c r="A1" s="3" t="inlineStr">
        <is>
          <t>PROCESOS</t>
        </is>
      </c>
      <c r="B1" s="3" t="inlineStr">
        <is>
          <t>TIPO_ESTRUCTURA</t>
        </is>
      </c>
      <c r="C1" s="3" t="inlineStr">
        <is>
          <t>TIPO_ELEMENTO</t>
        </is>
      </c>
      <c r="D1" s="3" t="inlineStr">
        <is>
          <t>CLASE_PESO</t>
        </is>
      </c>
      <c r="E1" s="3" t="inlineStr">
        <is>
          <t>MAQUINAS</t>
        </is>
      </c>
      <c r="F1" s="3" t="inlineStr">
        <is>
          <t>CAUSA_PARADA</t>
        </is>
      </c>
      <c r="G1" s="3" t="inlineStr">
        <is>
          <t>SI_NO</t>
        </is>
      </c>
      <c r="H1" s="3" t="inlineStr">
        <is>
          <t>FUENTE_TON</t>
        </is>
      </c>
      <c r="I1" s="3" t="inlineStr">
        <is>
          <t>SERVICIO</t>
        </is>
      </c>
      <c r="J1" s="3" t="inlineStr">
        <is>
          <t>EVENTO</t>
        </is>
      </c>
      <c r="K1" s="3" t="inlineStr">
        <is>
          <t>IMPUTABLE</t>
        </is>
      </c>
      <c r="L1" s="3" t="inlineStr">
        <is>
          <t>RESULTADO_COT</t>
        </is>
      </c>
      <c r="M1" s="3" t="inlineStr">
        <is>
          <t>CONTRATISTAS</t>
        </is>
      </c>
      <c r="N1" s="3" t="inlineStr">
        <is>
          <t>MONEDA</t>
        </is>
      </c>
    </row>
    <row r="2">
      <c r="A2" t="inlineStr">
        <is>
          <t>01 Ingeniería</t>
        </is>
      </c>
      <c r="B2" t="inlineStr">
        <is>
          <t>Nave industrial / packing / cobertura</t>
        </is>
      </c>
      <c r="C2" t="inlineStr">
        <is>
          <t>COLUMNA</t>
        </is>
      </c>
      <c r="D2" t="inlineStr">
        <is>
          <t>Liviana (0-250 kg)</t>
        </is>
      </c>
      <c r="E2" t="inlineStr">
        <is>
          <t>Sierra Cinta Kaltenbach</t>
        </is>
      </c>
      <c r="F2" t="inlineStr">
        <is>
          <t>Falla mecánica</t>
        </is>
      </c>
      <c r="G2" t="inlineStr">
        <is>
          <t>Sí</t>
        </is>
      </c>
      <c r="H2" t="inlineStr">
        <is>
          <t>Estimada (cotización)</t>
        </is>
      </c>
      <c r="I2" t="inlineStr">
        <is>
          <t>Doblez</t>
        </is>
      </c>
      <c r="J2" t="inlineStr">
        <is>
          <t>Cambio de alcance</t>
        </is>
      </c>
      <c r="K2" t="inlineStr">
        <is>
          <t>Cliente</t>
        </is>
      </c>
      <c r="L2" t="inlineStr">
        <is>
          <t>Ganada</t>
        </is>
      </c>
      <c r="M2" t="inlineStr">
        <is>
          <t>T&amp;C FABRICACION</t>
        </is>
      </c>
      <c r="N2" t="inlineStr">
        <is>
          <t>USD</t>
        </is>
      </c>
    </row>
    <row r="3">
      <c r="A3" t="inlineStr">
        <is>
          <t>02 Compra de material</t>
        </is>
      </c>
      <c r="B3" t="inlineStr">
        <is>
          <t>Planta industrial / minería</t>
        </is>
      </c>
      <c r="C3" t="inlineStr">
        <is>
          <t>VIGA</t>
        </is>
      </c>
      <c r="D3" t="inlineStr">
        <is>
          <t>Mediana (251-1000 kg)</t>
        </is>
      </c>
      <c r="E3" t="inlineStr">
        <is>
          <t>Cizalladora Punzonadora Pedimax</t>
        </is>
      </c>
      <c r="F3" t="inlineStr">
        <is>
          <t>Falla eléctrica</t>
        </is>
      </c>
      <c r="G3" t="inlineStr">
        <is>
          <t>No</t>
        </is>
      </c>
      <c r="H3" t="inlineStr">
        <is>
          <t>Planos de fabricación</t>
        </is>
      </c>
      <c r="I3" t="inlineStr">
        <is>
          <t>Granallado y pintura</t>
        </is>
      </c>
      <c r="J3" t="inlineStr">
        <is>
          <t>Revisión de planos</t>
        </is>
      </c>
      <c r="K3" t="inlineStr">
        <is>
          <t>Steelser</t>
        </is>
      </c>
      <c r="L3" t="inlineStr">
        <is>
          <t>Perdida</t>
        </is>
      </c>
      <c r="M3" t="inlineStr">
        <is>
          <t>FRANCISCO TARRILLO</t>
        </is>
      </c>
      <c r="N3" t="inlineStr">
        <is>
          <t>PEN</t>
        </is>
      </c>
    </row>
    <row r="4">
      <c r="A4" t="inlineStr">
        <is>
          <t>03 Habilitado - sierra cinta</t>
        </is>
      </c>
      <c r="B4" t="inlineStr">
        <is>
          <t>Edificación / infraestructura</t>
        </is>
      </c>
      <c r="C4" t="inlineStr">
        <is>
          <t>TIJERAL</t>
        </is>
      </c>
      <c r="D4" t="inlineStr">
        <is>
          <t>Pesada (&gt;1000 kg)</t>
        </is>
      </c>
      <c r="E4" t="inlineStr">
        <is>
          <t>Mesa CNC</t>
        </is>
      </c>
      <c r="F4" t="inlineStr">
        <is>
          <t>Falta de repuesto</t>
        </is>
      </c>
      <c r="H4" t="inlineStr">
        <is>
          <t>Despacho real (guías)</t>
        </is>
      </c>
      <c r="I4" t="inlineStr">
        <is>
          <t>Rolado</t>
        </is>
      </c>
      <c r="J4" t="inlineStr">
        <is>
          <t>Retraso de información del cliente (RFI)</t>
        </is>
      </c>
      <c r="K4" t="inlineStr">
        <is>
          <t>Proveedor</t>
        </is>
      </c>
      <c r="L4" t="inlineStr">
        <is>
          <t>Retirada</t>
        </is>
      </c>
      <c r="M4" t="inlineStr">
        <is>
          <t>RFR METALICAS</t>
        </is>
      </c>
    </row>
    <row r="5">
      <c r="A5" t="inlineStr">
        <is>
          <t>04 Habilitado - cizalla-punzonadora</t>
        </is>
      </c>
      <c r="B5" t="inlineStr">
        <is>
          <t>Mezzanine / plataformas / oficinas</t>
        </is>
      </c>
      <c r="C5" t="inlineStr">
        <is>
          <t>CERCHA</t>
        </is>
      </c>
      <c r="E5" t="inlineStr">
        <is>
          <t>Roscadora RIDGID</t>
        </is>
      </c>
      <c r="F5" t="inlineStr">
        <is>
          <t>Lubricación</t>
        </is>
      </c>
      <c r="I5" t="inlineStr">
        <is>
          <t>Corte plasma</t>
        </is>
      </c>
      <c r="J5" t="inlineStr">
        <is>
          <t>Suspensión por el cliente</t>
        </is>
      </c>
      <c r="K5" t="inlineStr">
        <is>
          <t>Contratista</t>
        </is>
      </c>
      <c r="L5" t="inlineStr">
        <is>
          <t>Pendiente</t>
        </is>
      </c>
      <c r="M5" t="inlineStr">
        <is>
          <t>ROGGER TORRES</t>
        </is>
      </c>
    </row>
    <row r="6">
      <c r="A6" t="inlineStr">
        <is>
          <t>05 Habilitado - mesa CNC</t>
        </is>
      </c>
      <c r="B6" t="inlineStr">
        <is>
          <t>Equipo especial / otro</t>
        </is>
      </c>
      <c r="C6" t="inlineStr">
        <is>
          <t>CORREA</t>
        </is>
      </c>
      <c r="F6" t="inlineStr">
        <is>
          <t>Cambio de herramienta / setup</t>
        </is>
      </c>
      <c r="I6" t="inlineStr">
        <is>
          <t>Galvanizado</t>
        </is>
      </c>
      <c r="J6" t="inlineStr">
        <is>
          <t>Falta de material</t>
        </is>
      </c>
      <c r="K6" t="inlineStr">
        <is>
          <t>Fuerza mayor</t>
        </is>
      </c>
      <c r="M6" t="inlineStr">
        <is>
          <t>LHL INGENIERIA</t>
        </is>
      </c>
    </row>
    <row r="7">
      <c r="A7" t="inlineStr">
        <is>
          <t>06 Roscado de barra lisa</t>
        </is>
      </c>
      <c r="C7" t="inlineStr">
        <is>
          <t>ARRIOSTRE</t>
        </is>
      </c>
      <c r="F7" t="inlineStr">
        <is>
          <t>Falta de operador</t>
        </is>
      </c>
      <c r="I7" t="inlineStr">
        <is>
          <t>Otro</t>
        </is>
      </c>
      <c r="J7" t="inlineStr">
        <is>
          <t>Retrabajo / no conformidad</t>
        </is>
      </c>
      <c r="M7" t="inlineStr">
        <is>
          <t>Personal propio</t>
        </is>
      </c>
    </row>
    <row r="8">
      <c r="A8" t="inlineStr">
        <is>
          <t>07 Doblez (servicio externo)</t>
        </is>
      </c>
      <c r="C8" t="inlineStr">
        <is>
          <t>TEMPLADOR</t>
        </is>
      </c>
      <c r="F8" t="inlineStr">
        <is>
          <t>Falta de material</t>
        </is>
      </c>
      <c r="J8" t="inlineStr">
        <is>
          <t>Clima</t>
        </is>
      </c>
      <c r="M8" t="inlineStr">
        <is>
          <t>Otro</t>
        </is>
      </c>
    </row>
    <row r="9">
      <c r="A9" t="inlineStr">
        <is>
          <t>08 Armado</t>
        </is>
      </c>
      <c r="C9" t="inlineStr">
        <is>
          <t>TORNAPUNTA</t>
        </is>
      </c>
      <c r="F9" t="inlineStr">
        <is>
          <t>Mantenimiento preventivo</t>
        </is>
      </c>
      <c r="J9" t="inlineStr">
        <is>
          <t>Otro</t>
        </is>
      </c>
    </row>
    <row r="10">
      <c r="A10" t="inlineStr">
        <is>
          <t>09 Soldeo</t>
        </is>
      </c>
      <c r="C10" t="inlineStr">
        <is>
          <t>TRAVESAÑO</t>
        </is>
      </c>
      <c r="F10" t="inlineStr">
        <is>
          <t>Otro</t>
        </is>
      </c>
    </row>
    <row r="11">
      <c r="A11" t="inlineStr">
        <is>
          <t>10 Limpieza</t>
        </is>
      </c>
      <c r="C11" t="inlineStr">
        <is>
          <t>PERFIL SOLDADO</t>
        </is>
      </c>
    </row>
    <row r="12">
      <c r="A12" t="inlineStr">
        <is>
          <t>11 Despacho a pintura</t>
        </is>
      </c>
      <c r="C12" t="inlineStr">
        <is>
          <t>PLACA DE CONEXIÓN</t>
        </is>
      </c>
    </row>
    <row r="13">
      <c r="A13" t="inlineStr">
        <is>
          <t>12 Granallado y pintura (externo)</t>
        </is>
      </c>
      <c r="C13" t="inlineStr">
        <is>
          <t>PLACA BASE</t>
        </is>
      </c>
    </row>
    <row r="14">
      <c r="A14" t="inlineStr">
        <is>
          <t>13 Despacho a obra</t>
        </is>
      </c>
      <c r="C14" t="inlineStr">
        <is>
          <t>INSERTO</t>
        </is>
      </c>
    </row>
    <row r="15">
      <c r="C15" t="inlineStr">
        <is>
          <t>CONECTOR</t>
        </is>
      </c>
    </row>
    <row r="16">
      <c r="C16" t="inlineStr">
        <is>
          <t>SOPORTE</t>
        </is>
      </c>
    </row>
    <row r="17">
      <c r="C17" t="inlineStr">
        <is>
          <t>DINTEL</t>
        </is>
      </c>
    </row>
    <row r="18">
      <c r="C18" t="inlineStr">
        <is>
          <t>COLUMNETA</t>
        </is>
      </c>
    </row>
    <row r="19">
      <c r="C19" t="inlineStr">
        <is>
          <t>PLATINA</t>
        </is>
      </c>
    </row>
    <row r="20">
      <c r="C20" t="inlineStr">
        <is>
          <t>ESCALERA</t>
        </is>
      </c>
    </row>
    <row r="21">
      <c r="C21" t="inlineStr">
        <is>
          <t>BARANDA</t>
        </is>
      </c>
    </row>
    <row r="22">
      <c r="C22" t="inlineStr">
        <is>
          <t>TAPA / CUBIERTA</t>
        </is>
      </c>
    </row>
    <row r="23">
      <c r="C23" t="inlineStr">
        <is>
          <t>TUBERÍA ROLADA</t>
        </is>
      </c>
    </row>
    <row r="24">
      <c r="C24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2026-10-07T13:45:08Z</dcterms:created>
  <dcterms:modified xsi:type="dcterms:W3CDTF">2026-10-07T13:45:08Z</dcterms:modified>
</cp:coreProperties>
</file>